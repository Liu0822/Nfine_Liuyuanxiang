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trlProps/ctrlProp1.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xml" ContentType="application/vnd.openxmlformats-officedocument.spreadsheetml.worksheet+xml"/>
  <Override PartName="/xl/worksheets/sheet80.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3050" tabRatio="864" activeTab="1"/>
  </bookViews>
  <sheets>
    <sheet name="总表" sheetId="1" r:id="rId1"/>
    <sheet name="收付款总表" sheetId="2" r:id="rId2"/>
    <sheet name="按月收付款情况汇总" sheetId="4" r:id="rId3"/>
    <sheet name="尤夫短拆" sheetId="83" r:id="rId4"/>
    <sheet name="乐语12期" sheetId="82" r:id="rId5"/>
    <sheet name="西藏发展" sheetId="81" r:id="rId6"/>
    <sheet name="捷夫珠宝" sheetId="80" r:id="rId7"/>
    <sheet name="驿家2期" sheetId="65" r:id="rId8"/>
    <sheet name="康必得短借" sheetId="64" r:id="rId9"/>
    <sheet name="汇源2期" sheetId="63" r:id="rId10"/>
    <sheet name="龙力生物" sheetId="62" r:id="rId11"/>
    <sheet name="升达1期" sheetId="57" r:id="rId12"/>
    <sheet name="升达2期" sheetId="58" r:id="rId13"/>
    <sheet name="升达3期" sheetId="59" r:id="rId14"/>
    <sheet name="乐语6期" sheetId="52" r:id="rId15"/>
    <sheet name="乐语7期" sheetId="53" r:id="rId16"/>
    <sheet name="乐语5期" sheetId="54" r:id="rId17"/>
    <sheet name="乐语8期" sheetId="55" r:id="rId18"/>
    <sheet name="乐语9期" sheetId="56" r:id="rId19"/>
    <sheet name="中麦2期" sheetId="48" r:id="rId20"/>
    <sheet name="盛运1期" sheetId="49" r:id="rId21"/>
    <sheet name="盛运2期" sheetId="50" r:id="rId22"/>
    <sheet name="盛运3期" sheetId="51" r:id="rId23"/>
    <sheet name="华英4期" sheetId="77" r:id="rId24"/>
    <sheet name="华英短拆" sheetId="79" r:id="rId25"/>
    <sheet name="永泰控股" sheetId="78" r:id="rId26"/>
    <sheet name="中麦信通" sheetId="73" r:id="rId27"/>
    <sheet name="中孚1期" sheetId="70" r:id="rId28"/>
    <sheet name="中孚2期" sheetId="74" r:id="rId29"/>
    <sheet name="中孚3期" sheetId="75" r:id="rId30"/>
    <sheet name="中孚4期" sheetId="76" r:id="rId31"/>
    <sheet name="德莱顿" sheetId="72" r:id="rId32"/>
    <sheet name="汇高商贸" sheetId="71" r:id="rId33"/>
    <sheet name="鼎立控股" sheetId="67" r:id="rId34"/>
    <sheet name="旗帜4期" sheetId="66" r:id="rId35"/>
    <sheet name="旗帜5期" sheetId="69" r:id="rId36"/>
    <sheet name="中昌2期" sheetId="47" r:id="rId37"/>
    <sheet name="中昌航道" sheetId="46" r:id="rId38"/>
    <sheet name="华英4期（短借）" sheetId="45" r:id="rId39"/>
    <sheet name="天成控股（长征电气）" sheetId="43" r:id="rId40"/>
    <sheet name="天成控股（银河开关）" sheetId="44" r:id="rId41"/>
    <sheet name="天成3期" sheetId="42" r:id="rId42"/>
    <sheet name="天成4期" sheetId="36" r:id="rId43"/>
    <sheet name="天成5期" sheetId="40" r:id="rId44"/>
    <sheet name="汇源1期" sheetId="41" r:id="rId45"/>
    <sheet name="猛狮3期" sheetId="39" r:id="rId46"/>
    <sheet name="恒润华创" sheetId="38" r:id="rId47"/>
    <sheet name="前海圆舟" sheetId="37" r:id="rId48"/>
    <sheet name="尤夫2期" sheetId="34" r:id="rId49"/>
    <sheet name="尤夫1期" sheetId="33" r:id="rId50"/>
    <sheet name="宏达矿业" sheetId="32" r:id="rId51"/>
    <sheet name="中孚5期" sheetId="31" r:id="rId52"/>
    <sheet name="猛狮2期" sheetId="30" r:id="rId53"/>
    <sheet name="格洛斯金盾1期" sheetId="25" r:id="rId54"/>
    <sheet name="金盾2期" sheetId="26" r:id="rId55"/>
    <sheet name="融钰1期" sheetId="23" r:id="rId56"/>
    <sheet name="融钰2期" sheetId="24" r:id="rId57"/>
    <sheet name="山水环境" sheetId="22" r:id="rId58"/>
    <sheet name="天成2期长征电气1" sheetId="21" r:id="rId59"/>
    <sheet name="天成2期长征电气2" sheetId="27" r:id="rId60"/>
    <sheet name="天成2期银河开关" sheetId="28" r:id="rId61"/>
    <sheet name="中麦4期" sheetId="20" r:id="rId62"/>
    <sheet name="升达4期" sheetId="14" r:id="rId63"/>
    <sheet name="驿家短租公寓" sheetId="18" r:id="rId64"/>
    <sheet name="长城集团" sheetId="17" r:id="rId65"/>
    <sheet name="升达5期" sheetId="16" r:id="rId66"/>
    <sheet name="沃泰通" sheetId="15" r:id="rId67"/>
    <sheet name="猛狮科技" sheetId="3" r:id="rId68"/>
    <sheet name="天业2期" sheetId="5" r:id="rId69"/>
    <sheet name="九兴能源" sheetId="6" r:id="rId70"/>
    <sheet name="冠福1期" sheetId="7" r:id="rId71"/>
    <sheet name="盛运4期" sheetId="8" r:id="rId72"/>
    <sheet name="盛运5期" sheetId="9" r:id="rId73"/>
    <sheet name="天翔3期" sheetId="10" r:id="rId74"/>
    <sheet name="亿阳3期" sheetId="11" r:id="rId75"/>
    <sheet name="中麦3期" sheetId="12" r:id="rId76"/>
    <sheet name="天业3期" sheetId="13" r:id="rId77"/>
    <sheet name="升达6期" sheetId="19" r:id="rId78"/>
    <sheet name="天翔1期" sheetId="60" r:id="rId79"/>
    <sheet name="天翔2期" sheetId="61" r:id="rId80"/>
  </sheets>
  <definedNames>
    <definedName name="_xlnm._FilterDatabase" localSheetId="0" hidden="1">总表!$A$1:$AF$80</definedName>
  </definedNames>
  <calcPr calcId="144525"/>
</workbook>
</file>

<file path=xl/comments1.xml><?xml version="1.0" encoding="utf-8"?>
<comments xmlns="http://schemas.openxmlformats.org/spreadsheetml/2006/main">
  <authors>
    <author>gtcf</author>
  </authors>
  <commentList>
    <comment ref="X1" authorId="0">
      <text>
        <r>
          <rPr>
            <b/>
            <sz val="9"/>
            <rFont val="宋体"/>
            <charset val="134"/>
          </rPr>
          <t>gtcf:</t>
        </r>
        <r>
          <rPr>
            <sz val="9"/>
            <rFont val="宋体"/>
            <charset val="134"/>
          </rPr>
          <t xml:space="preserve">
质押商票金额，状态
</t>
        </r>
      </text>
    </comment>
    <comment ref="Y1" authorId="0">
      <text>
        <r>
          <rPr>
            <b/>
            <sz val="9"/>
            <rFont val="宋体"/>
            <charset val="134"/>
          </rPr>
          <t>gtcf:</t>
        </r>
        <r>
          <rPr>
            <sz val="9"/>
            <rFont val="宋体"/>
            <charset val="134"/>
          </rPr>
          <t xml:space="preserve">
转让债权发票情况，是否充足
</t>
        </r>
      </text>
    </comment>
    <comment ref="C76" authorId="0">
      <text>
        <r>
          <rPr>
            <b/>
            <sz val="9"/>
            <rFont val="宋体"/>
            <charset val="134"/>
          </rPr>
          <t xml:space="preserve">gtcf:
第二次放款：2017-12-29
</t>
        </r>
      </text>
    </comment>
    <comment ref="D76" authorId="0">
      <text>
        <r>
          <rPr>
            <b/>
            <sz val="9"/>
            <rFont val="宋体"/>
            <charset val="134"/>
          </rPr>
          <t>gtcf:</t>
        </r>
        <r>
          <rPr>
            <sz val="9"/>
            <rFont val="宋体"/>
            <charset val="134"/>
          </rPr>
          <t xml:space="preserve">
2018-12-28</t>
        </r>
      </text>
    </comment>
  </commentList>
</comments>
</file>

<file path=xl/comments2.xml><?xml version="1.0" encoding="utf-8"?>
<comments xmlns="http://schemas.openxmlformats.org/spreadsheetml/2006/main">
  <authors>
    <author>gtcf</author>
    <author>wils</author>
  </authors>
  <commentList>
    <comment ref="E3" authorId="0">
      <text>
        <r>
          <rPr>
            <b/>
            <sz val="9"/>
            <rFont val="宋体"/>
            <charset val="134"/>
          </rPr>
          <t>gtcf:</t>
        </r>
        <r>
          <rPr>
            <sz val="9"/>
            <rFont val="宋体"/>
            <charset val="134"/>
          </rPr>
          <t xml:space="preserve">
先付一半</t>
        </r>
      </text>
    </comment>
    <comment ref="E5" authorId="1">
      <text>
        <r>
          <rPr>
            <b/>
            <sz val="9"/>
            <rFont val="宋体"/>
            <charset val="134"/>
          </rPr>
          <t>wils:</t>
        </r>
        <r>
          <rPr>
            <sz val="9"/>
            <rFont val="宋体"/>
            <charset val="134"/>
          </rPr>
          <t xml:space="preserve">
半年一付</t>
        </r>
      </text>
    </comment>
    <comment ref="F5" authorId="1">
      <text>
        <r>
          <rPr>
            <b/>
            <sz val="9"/>
            <rFont val="宋体"/>
            <charset val="134"/>
          </rPr>
          <t>wils:</t>
        </r>
        <r>
          <rPr>
            <sz val="9"/>
            <rFont val="宋体"/>
            <charset val="134"/>
          </rPr>
          <t xml:space="preserve">
半年一付</t>
        </r>
      </text>
    </comment>
    <comment ref="G5" authorId="1">
      <text>
        <r>
          <rPr>
            <b/>
            <sz val="9"/>
            <rFont val="宋体"/>
            <charset val="134"/>
          </rPr>
          <t>wils:</t>
        </r>
        <r>
          <rPr>
            <sz val="9"/>
            <rFont val="宋体"/>
            <charset val="134"/>
          </rPr>
          <t xml:space="preserve">
整年结清</t>
        </r>
      </text>
    </comment>
  </commentList>
</comments>
</file>

<file path=xl/comments3.xml><?xml version="1.0" encoding="utf-8"?>
<comments xmlns="http://schemas.openxmlformats.org/spreadsheetml/2006/main">
  <authors>
    <author>gtcf</author>
  </authors>
  <commentList>
    <comment ref="E3" authorId="0">
      <text>
        <r>
          <rPr>
            <b/>
            <sz val="9"/>
            <rFont val="宋体"/>
            <charset val="134"/>
          </rPr>
          <t>gtcf:</t>
        </r>
        <r>
          <rPr>
            <sz val="9"/>
            <rFont val="宋体"/>
            <charset val="134"/>
          </rPr>
          <t xml:space="preserve">
先付一半</t>
        </r>
      </text>
    </comment>
  </commentList>
</comments>
</file>

<file path=xl/sharedStrings.xml><?xml version="1.0" encoding="utf-8"?>
<sst xmlns="http://schemas.openxmlformats.org/spreadsheetml/2006/main" count="632">
  <si>
    <t>序号</t>
  </si>
  <si>
    <t>项目名称</t>
  </si>
  <si>
    <t>放款时间</t>
  </si>
  <si>
    <t>到期时间</t>
  </si>
  <si>
    <t>借款期限</t>
  </si>
  <si>
    <t>合同金额</t>
  </si>
  <si>
    <t>放款金额</t>
  </si>
  <si>
    <t>放款余额</t>
  </si>
  <si>
    <t>利率</t>
  </si>
  <si>
    <t>手续费率</t>
  </si>
  <si>
    <t>咨询费率</t>
  </si>
  <si>
    <t>保证金率</t>
  </si>
  <si>
    <t>合计</t>
  </si>
  <si>
    <t>收款信息</t>
  </si>
  <si>
    <t>买方</t>
  </si>
  <si>
    <t>卖方</t>
  </si>
  <si>
    <t>交易模式</t>
  </si>
  <si>
    <t>付息方式</t>
  </si>
  <si>
    <t>明/暗</t>
  </si>
  <si>
    <t>正/反向</t>
  </si>
  <si>
    <t>行业分类</t>
  </si>
  <si>
    <t>担保措施</t>
  </si>
  <si>
    <t>电票/纸票/电汇</t>
  </si>
  <si>
    <t>商票情况</t>
  </si>
  <si>
    <t>债权情况</t>
  </si>
  <si>
    <t>项目经理</t>
  </si>
  <si>
    <t>所属分公司</t>
  </si>
  <si>
    <t>风控主审</t>
  </si>
  <si>
    <t>项管专员</t>
  </si>
  <si>
    <t>到期情况</t>
  </si>
  <si>
    <t>资产是否已售出</t>
  </si>
  <si>
    <t>合同编号</t>
  </si>
  <si>
    <t>备注</t>
  </si>
  <si>
    <t>升达1期</t>
  </si>
  <si>
    <t>click</t>
  </si>
  <si>
    <t>升达林业</t>
  </si>
  <si>
    <t>温江升达</t>
  </si>
  <si>
    <t>温江升达向广元升达销售木地板</t>
  </si>
  <si>
    <t>半年</t>
  </si>
  <si>
    <t>明</t>
  </si>
  <si>
    <t>反向</t>
  </si>
  <si>
    <t>林业/建材业</t>
  </si>
  <si>
    <t>江昌政、四川升达林产工业集团有限公司</t>
  </si>
  <si>
    <t>电票</t>
  </si>
  <si>
    <t>2286万商票背书我司，2017/2/1到期</t>
  </si>
  <si>
    <t>李智永</t>
  </si>
  <si>
    <t>邓韵轩</t>
  </si>
  <si>
    <t>李慧琳</t>
  </si>
  <si>
    <t>已还款</t>
  </si>
  <si>
    <t>是</t>
  </si>
  <si>
    <t>GTBL-WJSD-201512</t>
  </si>
  <si>
    <t>华英短拆</t>
  </si>
  <si>
    <t>无</t>
  </si>
  <si>
    <t>到期支付</t>
  </si>
  <si>
    <t>农业</t>
  </si>
  <si>
    <t>曹家富</t>
  </si>
  <si>
    <t>梁振宇</t>
  </si>
  <si>
    <t>河南</t>
  </si>
  <si>
    <t>张婧</t>
  </si>
  <si>
    <t>GTBL-HYNY-201601</t>
  </si>
  <si>
    <t>升达2期</t>
  </si>
  <si>
    <t>升达集团</t>
  </si>
  <si>
    <t>广元升达</t>
  </si>
  <si>
    <t>广元升达向升达集团销售纤维板</t>
  </si>
  <si>
    <t>江昌政、四川升达林产工业集团有限公司、江山</t>
  </si>
  <si>
    <t>2858万背书我司2017/1/21到期</t>
  </si>
  <si>
    <t>GTBL-GYSD-201601</t>
  </si>
  <si>
    <t>旗帜4期</t>
  </si>
  <si>
    <t>广东旗帜商贸实业有限公司</t>
  </si>
  <si>
    <t>中欧天然食品有限公司</t>
  </si>
  <si>
    <t>旗帜商贸向中欧天然销售茅台</t>
  </si>
  <si>
    <t>正向</t>
  </si>
  <si>
    <t>白酒</t>
  </si>
  <si>
    <t>1. 林劲峰担保
2. 盈信集团担保
3. 股权质押（国投资本）</t>
  </si>
  <si>
    <t>李悦</t>
  </si>
  <si>
    <t>李倞眉</t>
  </si>
  <si>
    <t>GTBL-QZSM-201602</t>
  </si>
  <si>
    <t>乐语5期</t>
  </si>
  <si>
    <t>重庆乐语</t>
  </si>
  <si>
    <t>北京乐语</t>
  </si>
  <si>
    <t>北京乐语销售3C产品给重庆乐语</t>
  </si>
  <si>
    <t>月</t>
  </si>
  <si>
    <t>3C产品</t>
  </si>
  <si>
    <t>1.三胞集团担保
2.袁亚非担保</t>
  </si>
  <si>
    <t>足额</t>
  </si>
  <si>
    <t>张天衡</t>
  </si>
  <si>
    <t>南京</t>
  </si>
  <si>
    <t>GTBL-BJLY-201511-02</t>
  </si>
  <si>
    <t>升达3期</t>
  </si>
  <si>
    <t>8571万商票背书我司、2017/3/21到期</t>
  </si>
  <si>
    <t>GTBL-GYSD-201603</t>
  </si>
  <si>
    <t>龙力生物</t>
  </si>
  <si>
    <t>康博商贸、海奥生物</t>
  </si>
  <si>
    <t>康博商贸、海奥生物向龙力生物销售酒精和木糖醇</t>
  </si>
  <si>
    <t>食品加工</t>
  </si>
  <si>
    <t>1.龙力生物暗担保
2.程少博担保</t>
  </si>
  <si>
    <t>3668万背书我司，2017/4/14到期</t>
  </si>
  <si>
    <t>喻义</t>
  </si>
  <si>
    <t>南昌</t>
  </si>
  <si>
    <t>宋波</t>
  </si>
  <si>
    <t>GTBL-KBSM-201604
GTBL-HASW-201604</t>
  </si>
  <si>
    <t>鼎立控股</t>
  </si>
  <si>
    <t>孙总借款至鼎立</t>
  </si>
  <si>
    <t>橡胶制造</t>
  </si>
  <si>
    <t>许宝星、许明景、鼎力股份暗保</t>
  </si>
  <si>
    <t>刘文斌</t>
  </si>
  <si>
    <t>江西</t>
  </si>
  <si>
    <t>SYF-DLKG-201604</t>
  </si>
  <si>
    <t>冠福1期</t>
  </si>
  <si>
    <t>福建冠福实业有限公司</t>
  </si>
  <si>
    <t>上海五天供应链有限公司</t>
  </si>
  <si>
    <t>五天供应链向冠福实业销售陶瓷产品，冠福实业将冠福股份开具的纸质商票背书</t>
  </si>
  <si>
    <t>其他</t>
  </si>
  <si>
    <t>1. 林氏家族及其配偶担保
2. 冠福股份暗保</t>
  </si>
  <si>
    <t>纸票</t>
  </si>
  <si>
    <t>6000万纸票质押我司，未退回</t>
  </si>
  <si>
    <t>GTBL-WTGYL-201604</t>
  </si>
  <si>
    <t>中孚1期</t>
  </si>
  <si>
    <t>河南中孚电力有限公司</t>
  </si>
  <si>
    <t>河南中孚实业股份有限公司</t>
  </si>
  <si>
    <t>中孚电力向中孚实业采购煤用于发电</t>
  </si>
  <si>
    <t>铝制造业</t>
  </si>
  <si>
    <t>1、河南豫联能源集团有限责任公司提供连带责任担保；
2、河南中孚电力有限公司提供连带责任担保；
3、上市公司法人代表崔红松提供连带责任担保；</t>
  </si>
  <si>
    <t>3750万商票质押我司，已退回</t>
  </si>
  <si>
    <t>GTBL-GFSY-201605</t>
  </si>
  <si>
    <t>旗帜5期</t>
  </si>
  <si>
    <t>深圳</t>
  </si>
  <si>
    <t>张荣辉/李倞眉</t>
  </si>
  <si>
    <t>否</t>
  </si>
  <si>
    <t>GTBL-QZSM-201605</t>
  </si>
  <si>
    <t>汇高商贸</t>
  </si>
  <si>
    <t>江苏金翔石油化工有限公司</t>
  </si>
  <si>
    <t>滁州汇高商贸有限公司</t>
  </si>
  <si>
    <t>汇高销售油品至金翔</t>
  </si>
  <si>
    <t>石油化工</t>
  </si>
  <si>
    <t>1. 汇高实际控制人担保
2. 通润担保
3. 汇润担保
4. 通润和汇润法人担保
5. 南京惠洋码头股权质押</t>
  </si>
  <si>
    <t>GTBL-HGSM-201605</t>
  </si>
  <si>
    <t>九兴能源</t>
  </si>
  <si>
    <t>九兴能源实业有限公司</t>
  </si>
  <si>
    <t>江苏西电能源燃料公司</t>
  </si>
  <si>
    <t>西电销售煤至九兴</t>
  </si>
  <si>
    <t>采矿业</t>
  </si>
  <si>
    <t>1. 永泰控股担保
2. 王广西担保
3. 广泰控股担保
4. 王洪锦担保</t>
  </si>
  <si>
    <t>12500万电票质押我司，未退回</t>
  </si>
  <si>
    <t xml:space="preserve">足额 </t>
  </si>
  <si>
    <t>延迟半年还清，已还清</t>
  </si>
  <si>
    <t>GTBL-XDNY-201608</t>
  </si>
  <si>
    <t>天业1期</t>
  </si>
  <si>
    <t>山东天业恒基股份有限公司</t>
  </si>
  <si>
    <t>山东亨业贸易有限公司</t>
  </si>
  <si>
    <t>亨业销售</t>
  </si>
  <si>
    <t>房地产</t>
  </si>
  <si>
    <t>1. 曾昭秦夫妇担保
2. 孙茂华担保
3. 天业股份担保
4. 天业房地产担保</t>
  </si>
  <si>
    <t>5002.2万商票背书，已退回</t>
  </si>
  <si>
    <t>GTBL-HYMY-201605</t>
  </si>
  <si>
    <t>德莱顿</t>
  </si>
  <si>
    <t>中欧天然食品股份有限公司</t>
  </si>
  <si>
    <t>深圳市德莱顿供应链管理有限公司</t>
  </si>
  <si>
    <t>德莱顿销售茅台至中欧</t>
  </si>
  <si>
    <t>1. 盈信集团担保
2. 林劲峰担保
3. 中欧天然担保
4. 德莱顿担保
5. 国投资本股权质押</t>
  </si>
  <si>
    <t>GTBL-DLD-201605</t>
  </si>
  <si>
    <t>中麦信通</t>
  </si>
  <si>
    <t>中麦控股有限公司</t>
  </si>
  <si>
    <t>中麦移动网络有限公司</t>
  </si>
  <si>
    <t>中麦移动为中麦控股提供产品开发及技术支撑等服务</t>
  </si>
  <si>
    <t>信息传输、软件和信息技术服务业</t>
  </si>
  <si>
    <t>王献蜀、高霞、巴士在线控股有限公司</t>
  </si>
  <si>
    <t>4286万商票背书我司，2016.12.1到期</t>
  </si>
  <si>
    <t>戴斯彧</t>
  </si>
  <si>
    <t>GTBL-ZMTX-201605</t>
  </si>
  <si>
    <t>中孚2期</t>
  </si>
  <si>
    <t>季</t>
  </si>
  <si>
    <t>制造业</t>
  </si>
  <si>
    <t>GTBL-ZFSY-201606</t>
  </si>
  <si>
    <t>乐语6期</t>
  </si>
  <si>
    <t>GTBL-BJLY-201601-1</t>
  </si>
  <si>
    <t>乐语7期</t>
  </si>
  <si>
    <t>GTBL-BJLY-201601-2</t>
  </si>
  <si>
    <t>天翔1期</t>
  </si>
  <si>
    <t>天圣环保</t>
  </si>
  <si>
    <t>天翔环境</t>
  </si>
  <si>
    <t>天翔坏境销售环保设备给天圣环保</t>
  </si>
  <si>
    <t>邓亲华担保</t>
  </si>
  <si>
    <t>GTBL-TXHJ-201606-1</t>
  </si>
  <si>
    <t>天翔2期</t>
  </si>
  <si>
    <t>西南建中</t>
  </si>
  <si>
    <t>天翔坏境销售环保设备给西南建中</t>
  </si>
  <si>
    <t>GTBL-TXHJ-201606-2</t>
  </si>
  <si>
    <t>中孚3期</t>
  </si>
  <si>
    <t>商票质押我司，已退回</t>
  </si>
  <si>
    <t>GTBL-ZFSY-201607</t>
  </si>
  <si>
    <t>中昌航道</t>
  </si>
  <si>
    <t>长江武汉航道工程局、中港疏浚有限公司、青岛海防工程局</t>
  </si>
  <si>
    <t>上海中昌航道工程有限公司</t>
  </si>
  <si>
    <t>中昌航道承揽武汉航道、中港疏浚、青岛海防等航道工程建设</t>
  </si>
  <si>
    <t>暗</t>
  </si>
  <si>
    <t>航道工程</t>
  </si>
  <si>
    <t>上海三盛宏业投资（集团）有限责任公司；陈建铭；陈艳红；中昌海运（上市公司暗保）</t>
  </si>
  <si>
    <t>电汇</t>
  </si>
  <si>
    <t>已足额</t>
  </si>
  <si>
    <t>GTBL-ZCHD-201607</t>
  </si>
  <si>
    <t>乐语8期</t>
  </si>
  <si>
    <t>GTBL-BJLY-201607-01</t>
  </si>
  <si>
    <t>盛运1期</t>
  </si>
  <si>
    <t>安徽盛运环保（集团）股份有限公司</t>
  </si>
  <si>
    <t>GTBL-SYZG-201607</t>
  </si>
  <si>
    <t>盛运2期</t>
  </si>
  <si>
    <t>安徽盛运重工机械有限责任公司</t>
  </si>
  <si>
    <t>盛运重工与盛运环保签署承揽合同，生产工程机械设备</t>
  </si>
  <si>
    <t>开晓胜、盛运环保暗保</t>
  </si>
  <si>
    <t>5556万商票背书我司，2017.1.9到期</t>
  </si>
  <si>
    <t>提前还款</t>
  </si>
  <si>
    <t>GTBL-SYZG-201608-01</t>
  </si>
  <si>
    <t>乐语9期</t>
  </si>
  <si>
    <t>GTBL-BJLY-201607-02</t>
  </si>
  <si>
    <t>盛运3期</t>
  </si>
  <si>
    <t>GTBL-SYZG-201608-02</t>
  </si>
  <si>
    <t>天业2期</t>
  </si>
  <si>
    <t>山东衡天建筑工程有限公司</t>
  </si>
  <si>
    <t>天业恒基向恒天建筑采购建筑材料，衡天将天业恒基商票背书至我司</t>
  </si>
  <si>
    <t>房地产业</t>
  </si>
  <si>
    <t>1. 曾昭秦、张建英夫妇担保
2. 恒天建筑法人张汝朝担保
3. 张成龙担保
4. 天业房地产担保
5. 天业股份暗保</t>
  </si>
  <si>
    <t>5000万商票已背书至我司，2017.8.7到期</t>
  </si>
  <si>
    <t>卞凯文</t>
  </si>
  <si>
    <t>已到期
未还款</t>
  </si>
  <si>
    <t>GTBL-HTJZ-201608</t>
  </si>
  <si>
    <t>盛运4期</t>
  </si>
  <si>
    <t>天</t>
  </si>
  <si>
    <t>6250万商票背书我司，2017.9.23到期</t>
  </si>
  <si>
    <t>GTBL-SYZG-201709-01</t>
  </si>
  <si>
    <t>盛运5期</t>
  </si>
  <si>
    <t>6250万商票背书我司，2017.9.27到期</t>
  </si>
  <si>
    <t>GTBL-SYZG-201709-02</t>
  </si>
  <si>
    <t>中孚4期</t>
  </si>
  <si>
    <t>上海宝硕商贸有限公司</t>
  </si>
  <si>
    <t>上海宝硕向中孚实业采购煤</t>
  </si>
  <si>
    <t>1、河南豫联能源集团有限责任公司提供连带责任担保；
2、上海宝硕提供连带责任担保；
3、上市公司法人代表崔红松提供连带责任担保；
4.贺怀钦担保
5. 上市公司召开股东会</t>
  </si>
  <si>
    <t>6250万商票背书至我司，已背回</t>
  </si>
  <si>
    <t>GTBL-ZFSY-201609</t>
  </si>
  <si>
    <t>天翔3期</t>
  </si>
  <si>
    <t>GTBL-TXHJ-201611</t>
  </si>
  <si>
    <t>天成控股（长征电气）</t>
  </si>
  <si>
    <t>国网江苏省电力公司物资公司、国网山东省电力公司物资公司等</t>
  </si>
  <si>
    <t>贵州长征电气有限公司</t>
  </si>
  <si>
    <t>长征电气向下游客户销售电气设备</t>
  </si>
  <si>
    <t>天成控股（上市公司）暗担保；银河集团（上市公司母公司）担保</t>
  </si>
  <si>
    <t>饶雪梅</t>
  </si>
  <si>
    <t>GTBL-CZDQ-201611</t>
  </si>
  <si>
    <t>天成控股（银河开关）</t>
  </si>
  <si>
    <t>山东达驰电气有限公司、山东鲁能泰山电力设备有限公司、山东泰开变压器有限公司等</t>
  </si>
  <si>
    <t>北海银河开关设备有限公司</t>
  </si>
  <si>
    <t>银河开关向下游客户销售电气设备</t>
  </si>
  <si>
    <t>GTBL-YHKG-201611</t>
  </si>
  <si>
    <t>天业3期</t>
  </si>
  <si>
    <t>山东天业委托亨业采购，
国本（销售钛白粉）→亨业（采购钛白粉）←也盈（向亨业采购钛白粉）</t>
  </si>
  <si>
    <t>1. 天业股份担保
2. 天业房地产集团担保
3. 曾昭秦夫妇担保
4. 孙茂华担保</t>
  </si>
  <si>
    <t>6250万元商票已背书我司，11.30到期</t>
  </si>
  <si>
    <t>未到期
（但出现兑付风险）</t>
  </si>
  <si>
    <t>GTBL-HYMY-201612</t>
  </si>
  <si>
    <t>亿阳3期</t>
  </si>
  <si>
    <t>亿阳集团</t>
  </si>
  <si>
    <t>绥芬河翰德贸易有限公司</t>
  </si>
  <si>
    <t>绥芬河翰德销售纸浆至亿阳</t>
  </si>
  <si>
    <t>1. 亿阳信通暗保
2. 亿阳集团担保
3. 邓伟担保
4. 邓清担保</t>
  </si>
  <si>
    <t>8500万商票背书我司，已足额</t>
  </si>
  <si>
    <t>未到期（但出现兑付风险）</t>
  </si>
  <si>
    <t>gtbl-hdmy-201612</t>
  </si>
  <si>
    <t>中麦2期</t>
  </si>
  <si>
    <t>王献蜀、高霞、中麦控股有限公司担保、巴士在线控股有限公司（上市公司暗保）</t>
  </si>
  <si>
    <t>4286万商票背书我司，2017.5.31到期</t>
  </si>
  <si>
    <t>GTBL-ZMTX-201612</t>
  </si>
  <si>
    <t>中麦3期</t>
  </si>
  <si>
    <t>麦克网络技术服务有限公司</t>
  </si>
  <si>
    <t>中麦控股对麦克网络技术提供业务咨询服务</t>
  </si>
  <si>
    <t>王献蜀、高霞担保
王玉香180万股票质押</t>
  </si>
  <si>
    <t>7143万商票背书我司，2017.9.8到期</t>
  </si>
  <si>
    <t>不足额</t>
  </si>
  <si>
    <t>GTBL-ZMKG-201612</t>
  </si>
  <si>
    <t>中昌2期</t>
  </si>
  <si>
    <t>上海三盛宏业投资（集团）有限责任公司；陈建铭；陈艳红；中昌大数据（上市公司暗保）</t>
  </si>
  <si>
    <t>GTBL-ZCHD-201612</t>
  </si>
  <si>
    <t>华英4期（短借）</t>
  </si>
  <si>
    <t>7天</t>
  </si>
  <si>
    <t>河南华英樱桃谷食品有限公司</t>
  </si>
  <si>
    <t>河南华英农业发展股份有限公司</t>
  </si>
  <si>
    <t>一次性</t>
  </si>
  <si>
    <t>GTBL-HYNY-201612</t>
  </si>
  <si>
    <t>永泰控股（短借）</t>
  </si>
  <si>
    <t>40天</t>
  </si>
  <si>
    <t>郑州泛海新汉贸易有限公司</t>
  </si>
  <si>
    <t>永泰控股集团有限公司</t>
  </si>
  <si>
    <t>短借</t>
  </si>
  <si>
    <t>能源</t>
  </si>
  <si>
    <t>1. 王广西担保
2. 永泰控股担保</t>
  </si>
  <si>
    <t>GTBL-YTKG-201612</t>
  </si>
  <si>
    <t>2017年</t>
  </si>
  <si>
    <t>升达4期</t>
  </si>
  <si>
    <t>四川升达林业产工业集团有限公司
（上市公司母公司）</t>
  </si>
  <si>
    <t>成都市温江区升达建筑装饰材料有限公司</t>
  </si>
  <si>
    <t>升达集团（销售木地板）——升达林业（上市公司）——温江升达</t>
  </si>
  <si>
    <t>1.上市公司董事长 江昌政无限连带责任担保
2.升达集团担保</t>
  </si>
  <si>
    <t>6250万背书我司，2018.1.3到期</t>
  </si>
  <si>
    <t>未到期</t>
  </si>
  <si>
    <t>GTBL-WJSD-201612</t>
  </si>
  <si>
    <t>升达5期</t>
  </si>
  <si>
    <t>升达集团（销售木地板）——温江升达</t>
  </si>
  <si>
    <t>7500万商票背书我司，2018.3.23到期</t>
  </si>
  <si>
    <t>GTBL-WJSD-201703</t>
  </si>
  <si>
    <t>猛狮科技</t>
  </si>
  <si>
    <t>汕头市澄海区沪美蓄电池有限公司</t>
  </si>
  <si>
    <t>沪美蓄电池借款至猛狮科技</t>
  </si>
  <si>
    <t>1. 猛狮工业集团担保
2. 深圳前海易德有限合伙担保
3. 陈再喜夫妇担保
4. 陈乐伍担保
5. 陈乐强夫妇担保</t>
  </si>
  <si>
    <t>丁浩然</t>
  </si>
  <si>
    <t>GTBL-HMXDC-201704</t>
  </si>
  <si>
    <t>长城集团</t>
  </si>
  <si>
    <t>长城影视文化企业集团有限公司</t>
  </si>
  <si>
    <t>浙江荣耀控股有限公司</t>
  </si>
  <si>
    <t>荣耀控股提供广告服务至长城集团</t>
  </si>
  <si>
    <t>文化、体育和娱乐业</t>
  </si>
  <si>
    <t>1. 长城集团实际控制人赵锐勇连带责任担保
2. 长城影视暗保
3. 长城动漫暗保
4. 天目药业暗保</t>
  </si>
  <si>
    <t>12500万元商票背书至我司，11.8到期</t>
  </si>
  <si>
    <t>晏骏</t>
  </si>
  <si>
    <t>GTBL-ZJRY-201705</t>
  </si>
  <si>
    <t>驿家短租公寓</t>
  </si>
  <si>
    <t>租客</t>
  </si>
  <si>
    <t>驿家（杭州）科技有限公司</t>
  </si>
  <si>
    <t>短租公寓租金项目</t>
  </si>
  <si>
    <t>租赁和商务服务业</t>
  </si>
  <si>
    <t>1. 李智永担保
龙飞担保
3. 南京香海船舶担保</t>
  </si>
  <si>
    <t>巫婷</t>
  </si>
  <si>
    <t>原来按照季度付息，后调低费率后以等额本金方式按月付息</t>
  </si>
  <si>
    <t>沃泰通</t>
  </si>
  <si>
    <t>深圳市沃特玛电池有限公司</t>
  </si>
  <si>
    <t>东莞市沃泰通新能源有限公司</t>
  </si>
  <si>
    <t>沃泰通（销售电池半成品）——沃特玛</t>
  </si>
  <si>
    <t>1.朗泰通电子有限公司提供连带责任担保
2.朗泰沣电子有限公司提供连带责任担保
3.吴应强提供连带责任担保</t>
  </si>
  <si>
    <t>2000万商票背书我司，1000万2018.3.3到期，1000万2018.3.4到期</t>
  </si>
  <si>
    <t>曹小敏</t>
  </si>
  <si>
    <t>GTBL-WTT-201705</t>
  </si>
  <si>
    <t>中麦4期</t>
  </si>
  <si>
    <t>王献蜀、高霞、中麦控股有限公司担保，上市公司巴士在线（暗保）</t>
  </si>
  <si>
    <t>4286万商票背书我司，2017.12.1到期</t>
  </si>
  <si>
    <t>GTBL-ZMYD-201705</t>
  </si>
  <si>
    <t>2018/1/3中麦控股付息90万（记入4期第4季度利息）</t>
  </si>
  <si>
    <t>猛狮2期</t>
  </si>
  <si>
    <t>GBTL-HMXDC-201706</t>
  </si>
  <si>
    <t>升达6期</t>
  </si>
  <si>
    <t>米脂绿源天然气有限公司</t>
  </si>
  <si>
    <t>榆林金源天然气有限公司</t>
  </si>
  <si>
    <t>榆林金源天然气有限公司（销售天然气）——米脂绿源天然气有限公司</t>
  </si>
  <si>
    <t>电力、热力、燃气及水生产和供应业</t>
  </si>
  <si>
    <t>升达林业明担保</t>
  </si>
  <si>
    <t>12500万商票背书我司，2018.6.22到期</t>
  </si>
  <si>
    <t>GTBL-YLJY-201706</t>
  </si>
  <si>
    <t>天成2期（长征电气1）</t>
  </si>
  <si>
    <t>GTBL-CZDQ-201706-1</t>
  </si>
  <si>
    <t>2017/12/15 换质未倒账（债权发票已换质补充）</t>
  </si>
  <si>
    <t>天成3期</t>
  </si>
  <si>
    <t>贵州长征电气有限公司、银河天成集团有限公司等</t>
  </si>
  <si>
    <t>贵州长征天成控股股份有限公司</t>
  </si>
  <si>
    <t>短拆</t>
  </si>
  <si>
    <t>银河集团（上市公司母公司）担保</t>
  </si>
  <si>
    <t>陈耀亮</t>
  </si>
  <si>
    <t>供应链</t>
  </si>
  <si>
    <t>已到期
逾期还款</t>
  </si>
  <si>
    <t>GTBL-TCKG-201706</t>
  </si>
  <si>
    <t>山水环境</t>
  </si>
  <si>
    <t>孟州市交通运输局、萍乡市新区建筑安装总公司、荥阳市产业聚集区管理委员会、扎兰屯市住房和城乡建设局）</t>
  </si>
  <si>
    <t>山水环境科技股份有限公司</t>
  </si>
  <si>
    <t>山水环境为下游客户提供景观工程设计建设服务</t>
  </si>
  <si>
    <t>水利、环境和公共设施管理业</t>
  </si>
  <si>
    <t>1. 山水环境科技股份有限公司实际控制人袁俊山连带责任担保；
2. 中垣联合（北京）城乡规划设计有限公司连带责任担保；
3. 山水环境科技股份有限公司实际控制人袁俊山550万股票质押我司</t>
  </si>
  <si>
    <t>张剑</t>
  </si>
  <si>
    <t>GTBL-SSHJ-201706</t>
  </si>
  <si>
    <t>中孚5期</t>
  </si>
  <si>
    <t>1. 豫联集团担保
2. 贺怀钦担保
3. 中孚实业出具公告
4. 中孚电力担保</t>
  </si>
  <si>
    <t>12500万元商票背书至我司</t>
  </si>
  <si>
    <t>赵海枫</t>
  </si>
  <si>
    <t>GTBL-ZFSY-201706</t>
  </si>
  <si>
    <t>宏达矿业</t>
  </si>
  <si>
    <t>潍坊万宝矿业有限公司</t>
  </si>
  <si>
    <t>上海晶投实业有限公司</t>
  </si>
  <si>
    <t>上海晶投销售铝锭至潍坊万宝</t>
  </si>
  <si>
    <t>颜静刚连带责任担保</t>
  </si>
  <si>
    <t>2860万由宏达矿业开具的商票背书我司</t>
  </si>
  <si>
    <t>GTBL-JTSY-201706</t>
  </si>
  <si>
    <t>融钰1期</t>
  </si>
  <si>
    <t>融钰集团股份有限公司</t>
  </si>
  <si>
    <t>磐石实业（天津）有限公司</t>
  </si>
  <si>
    <t>磐石实业向融钰集团销售冷轧钢板</t>
  </si>
  <si>
    <t>1.融钰集团暗担保
2.尹宏伟担保</t>
  </si>
  <si>
    <t>5747万商票背书我司，2017.12.30到期</t>
  </si>
  <si>
    <t>GTBL-PSSY-201706-1</t>
  </si>
  <si>
    <t>企业于2017.12.29还款4997.916667万（扣除利息8333.33元、手续费12500元）。商票线下清算</t>
  </si>
  <si>
    <t>天成2期（银河开关）</t>
  </si>
  <si>
    <t>GTBL-YHLG-201706-2</t>
  </si>
  <si>
    <t>2018/1/4 半年换质未倒账（债权发票未换质补充）</t>
  </si>
  <si>
    <t>天成2期（长征电气2）</t>
  </si>
  <si>
    <t>GTBL-CZDQ-201706-2</t>
  </si>
  <si>
    <t>2018/1/5 半年换质未倒账（债权发票未换质补充）</t>
  </si>
  <si>
    <r>
      <rPr>
        <sz val="10"/>
        <color theme="1"/>
        <rFont val="宋体"/>
        <charset val="134"/>
      </rPr>
      <t>融钰2期</t>
    </r>
  </si>
  <si>
    <t>5747万商票背书我司，2018.1.9到期</t>
  </si>
  <si>
    <t>GTBL-PSSY-201706-2</t>
  </si>
  <si>
    <t>格洛斯（金盾1期）</t>
  </si>
  <si>
    <t>浙江蓝能燃气设备有限公司</t>
  </si>
  <si>
    <t>浙江格洛斯无缝钢管有限公司</t>
  </si>
  <si>
    <t>格洛斯向蓝能燃气销售无缝钢管</t>
  </si>
  <si>
    <t>1.上市公司浙江金盾风机股份有限公司暗保；
2.浙江金盾消防器材有限公司连带责任担保；
3.上市公司实际控制人周建灿及其儿子周纯连带责任担保；</t>
  </si>
  <si>
    <t>6250万商票背书我司，2018.1.21到期</t>
  </si>
  <si>
    <t>王震</t>
  </si>
  <si>
    <t>GTBL-GLS-201707</t>
  </si>
  <si>
    <t>尤夫1期</t>
  </si>
  <si>
    <t>浙江尤夫高新纤维股份有限公司</t>
  </si>
  <si>
    <t>上海祈尊实业有限公司</t>
  </si>
  <si>
    <t>祈尊销售乙二醇至尤夫</t>
  </si>
  <si>
    <t>1. 上海中技集团担保
2. 颜静刚担保
3. 尤夫股份到期回购
4. 苏州正悦担保</t>
  </si>
  <si>
    <t>6250万商票已质押我司，2018.1.26到期</t>
  </si>
  <si>
    <t>GTBL-YFGF-201707-01</t>
  </si>
  <si>
    <t>金盾2期</t>
  </si>
  <si>
    <t>浙江海豹机械设备有限公司</t>
  </si>
  <si>
    <t>浙江金盾消防器材有限公司</t>
  </si>
  <si>
    <t>金盾消防向海豹机械销售设备</t>
  </si>
  <si>
    <t>6250万商票背书我司，2018.2.5到期</t>
  </si>
  <si>
    <t>GTBL-JDXF-201708</t>
  </si>
  <si>
    <t>尤夫2期</t>
  </si>
  <si>
    <t>天成4期</t>
  </si>
  <si>
    <t>30天</t>
  </si>
  <si>
    <t>银河天成集团有限公司担保</t>
  </si>
  <si>
    <t>GTBL-TCKG-201708</t>
  </si>
  <si>
    <t>前海圆舟</t>
  </si>
  <si>
    <t>20天</t>
  </si>
  <si>
    <t>未指定</t>
  </si>
  <si>
    <t>前端一次性付清</t>
  </si>
  <si>
    <t>科技</t>
  </si>
  <si>
    <t>1. 谷银国际担保
2. 高源质押所持前海圆舟272万股权</t>
  </si>
  <si>
    <t>GTBL-QHYZ-201709</t>
  </si>
  <si>
    <t>天成5期</t>
  </si>
  <si>
    <t>成都钰华纳科技有限公司、四川啦威啦电力科技有限公司等</t>
  </si>
  <si>
    <t>成都恒天达科技有限公司</t>
  </si>
  <si>
    <t>天成控股（上市公司）暗担保；银河集团（上市公司母公司）担保；潘琦担保</t>
  </si>
  <si>
    <t>已到期未还款</t>
  </si>
  <si>
    <t>GTBL-HTD-201709</t>
  </si>
  <si>
    <t>2017/9/20-2017/11/19（利息2%/月，120万已付）
2017/11/20-2017/12/19（利息2.5%/月，75万已付）
2017/12/19-2017/12/29（利息3%/月，30万已付）
2017/12/30-2018/1/3（利息0.2%/日，30万已付）
2018/1/4-2018/1/31（利息0.3%/月，252万已付）</t>
  </si>
  <si>
    <t>汇源1期</t>
  </si>
  <si>
    <t>北京汇源饮料食品集团有限公司</t>
  </si>
  <si>
    <t>北京浚流商贸有限公司</t>
  </si>
  <si>
    <t>北京浚流商贸向北京汇源销售糖浆、果浆、浓缩汁</t>
  </si>
  <si>
    <t>零售、批发</t>
  </si>
  <si>
    <t>1. 北京汇源饮料食品集团有限公司实际控制人朱新礼连带责任担保；
2. 北京汇源饮料食品集团有限公司提供无限连带责任担保；</t>
  </si>
  <si>
    <t>6250万商票背书我司，2018.3.27到期</t>
  </si>
  <si>
    <t>GTBL-JLSM-201709-1</t>
  </si>
  <si>
    <t>恒润华创</t>
  </si>
  <si>
    <t>番禺恒润实验学校、名盛大厦</t>
  </si>
  <si>
    <t>广东恒润华创实业发展有限公司</t>
  </si>
  <si>
    <t>广东恒润华创对番禺恒润实验学校收益分红权、物业租金收益</t>
  </si>
  <si>
    <t>物业</t>
  </si>
  <si>
    <t>1. 赖淦锋及其配偶担保
2. 恒润互兴担保
3. 润盈担保
4. 天润数娱暗保</t>
  </si>
  <si>
    <t>李雄威</t>
  </si>
  <si>
    <t>GTBL-HRHC-201710</t>
  </si>
  <si>
    <t>猛狮3期</t>
  </si>
  <si>
    <t>汕头沪美蓄电池有限公司</t>
  </si>
  <si>
    <t>锂电池制造</t>
  </si>
  <si>
    <t>（1） 广东猛狮工业集团有限公司提供无限连带责任的保证担保；
（2） 深圳前海易德资本优势股权投资基金合伙企业（有限合伙）提供无限连带责任的保证担保；
（3） 北京中世融川股权投资中心（有限合伙）以其持有的广东猛狮新能源科技股份有限公司（证券代码：002684）共计450万股股票提供股权质押担保；
（4） 陈乐伍个人提供无限连带责任的保证担保；
（5） 林少军个人提供无限连带责任的保证担保；
（6） 陈再喜个人提供无限连带责任的保证担保；
（7） 陈银卿个人提供无限连带责任的保证担保；
（8） 陈乐强个人提供无限连带责任的保证担保；</t>
  </si>
  <si>
    <t>GTBL-HMXDC-201710</t>
  </si>
  <si>
    <t>汇源2期</t>
  </si>
  <si>
    <t>6250万商票背书我司，2018.5.15到期</t>
  </si>
  <si>
    <t>GTBL-JLSM-201709-2</t>
  </si>
  <si>
    <t>康必得短借</t>
  </si>
  <si>
    <t>45天</t>
  </si>
  <si>
    <t>河北恒利集团制药股份有限公司</t>
  </si>
  <si>
    <t>北京康必得药业有限公司</t>
  </si>
  <si>
    <t>河北恒利向北京康必得借款</t>
  </si>
  <si>
    <t>制药业</t>
  </si>
  <si>
    <t>实际控制人李长庚连带责任担保</t>
  </si>
  <si>
    <t>GTBL-KBD-201711</t>
  </si>
  <si>
    <t>驿家2期</t>
  </si>
  <si>
    <t>杭州朗颐酒店管理有限公司</t>
  </si>
  <si>
    <t>驿家科技对杭州朗颐酒店的酒店经营收入和租金收入对应债权</t>
  </si>
  <si>
    <t>酒店服务业</t>
  </si>
  <si>
    <t>1. 驿家科技实际控制人李智永及其配偶担保
2. 驿家科技100%股权质押
3. 驿家科技法人更换为公司指定人员</t>
  </si>
  <si>
    <t>-</t>
  </si>
  <si>
    <t>GTBL-YJKJ-201711</t>
  </si>
  <si>
    <t>捷夫珠宝</t>
  </si>
  <si>
    <t>2017/11/24
2018/1/9</t>
  </si>
  <si>
    <t>2018/11/23
2019/1/8</t>
  </si>
  <si>
    <t>黑龙江亨迪珠宝有限公司</t>
  </si>
  <si>
    <t>深圳市捷夫珠宝有限公司</t>
  </si>
  <si>
    <t>深圳市捷夫珠宝销售向黑龙江亨迪珠宝销售黄金珠宝</t>
  </si>
  <si>
    <t>黄金/珠宝批发零售</t>
  </si>
  <si>
    <t>1.上海碧空龙翔投资管理有限公司提供无限连带责任的保证担保；
2.哈尔滨捷夫珠宝有限公司提供无限连带责任的保证担保；
3.周凡卜及配偶刘影提供无限连带责任的保证担保；
4.钟葱个人提供无限连带责任的保证担保；
5.北京金一文化发展股份有限公司提供无限连带责任的保证担保并公告。</t>
  </si>
  <si>
    <t>林楚荣</t>
  </si>
  <si>
    <t>GTBL-JFZB-201711</t>
  </si>
  <si>
    <t>手续费3万/月于2017/12/20开始，付款方变更为哈尔滨恒音珠宝有限公司</t>
  </si>
  <si>
    <t>西藏发展</t>
  </si>
  <si>
    <t>西藏银河科技发展股份有限公司</t>
  </si>
  <si>
    <t>成都仕远置商贸有限责任公司</t>
  </si>
  <si>
    <t>1.上市公司西藏银河科技发展股份有限公司（000752）提供暗担保；
2.上市公司大股东西藏天易隆兴投资有限公司提供担保；</t>
  </si>
  <si>
    <t>见备注</t>
  </si>
  <si>
    <t>王莹</t>
  </si>
  <si>
    <t>北京</t>
  </si>
  <si>
    <t>GTBL-SYZ-201711</t>
  </si>
  <si>
    <t>2000万分两笔放款，因放款时间不同，故对应商票到期日不同。还款日以商票到期日为准。商票到期日分别是2018.2.26、2018.2.28</t>
  </si>
  <si>
    <t>乐语12期</t>
  </si>
  <si>
    <t>北京乐语世纪科技集团有限公司</t>
  </si>
  <si>
    <t>重庆乐语向北京乐语采购手机</t>
  </si>
  <si>
    <t>1. 三胞集团担保
2. 实际控制人袁亚非担保</t>
  </si>
  <si>
    <t>GTZB-BJLY-201711</t>
  </si>
  <si>
    <t>尤夫短拆</t>
  </si>
  <si>
    <t>上海中技资源有限公司</t>
  </si>
  <si>
    <t>1、上海中技企业集团有限公司提供连带责任担保
2、颜静刚提供连带责任担保
3、浙江尤夫高新纤维股份有限公司到期回购
4、苏州正悦投资管理有限公司提供连带责任担保</t>
  </si>
  <si>
    <t>GTBL-ZJZY-201712</t>
  </si>
  <si>
    <t>短拆，1+1</t>
  </si>
  <si>
    <t>2017项目收放款统计</t>
  </si>
  <si>
    <t>实收本金</t>
  </si>
  <si>
    <t>应收利息</t>
  </si>
  <si>
    <t>实收利息</t>
  </si>
  <si>
    <t>应收手续费</t>
  </si>
  <si>
    <t>实收手续费</t>
  </si>
  <si>
    <t>应收咨询费</t>
  </si>
  <si>
    <t>实收咨询费</t>
  </si>
  <si>
    <t>应收保证金</t>
  </si>
  <si>
    <t>实收保证金</t>
  </si>
  <si>
    <t>其他费用</t>
  </si>
  <si>
    <t>待收金额</t>
  </si>
  <si>
    <t>待收本金</t>
  </si>
  <si>
    <t>待收利息</t>
  </si>
  <si>
    <t>待收手续费</t>
  </si>
  <si>
    <t>待收咨询费</t>
  </si>
  <si>
    <t>2017收付款统计</t>
  </si>
  <si>
    <t>月份</t>
  </si>
  <si>
    <t>逾期还款</t>
  </si>
  <si>
    <t>1月</t>
  </si>
  <si>
    <t>2月</t>
  </si>
  <si>
    <t>3月</t>
  </si>
  <si>
    <t>4月</t>
  </si>
  <si>
    <t>5月</t>
  </si>
  <si>
    <t>6月</t>
  </si>
  <si>
    <t>7月</t>
  </si>
  <si>
    <t>8月</t>
  </si>
  <si>
    <t>9月</t>
  </si>
  <si>
    <t>10月</t>
  </si>
  <si>
    <t>11月</t>
  </si>
  <si>
    <t>12月</t>
  </si>
  <si>
    <t>尤夫短拆放款收费情况</t>
  </si>
  <si>
    <t>总表</t>
  </si>
  <si>
    <t>收付款总表</t>
  </si>
  <si>
    <t>回款时间</t>
  </si>
  <si>
    <t>手续费</t>
  </si>
  <si>
    <t>咨询费</t>
  </si>
  <si>
    <t>保证金</t>
  </si>
  <si>
    <t>乐语12期放款收费情况</t>
  </si>
  <si>
    <t>西藏发展放款收费情况</t>
  </si>
  <si>
    <t>捷夫珠宝放款收费情况</t>
  </si>
  <si>
    <t>驿家2期短借放款收费情况</t>
  </si>
  <si>
    <t>康必得短借放款收费情况</t>
  </si>
  <si>
    <t>汇源2期放款收费情况</t>
  </si>
  <si>
    <t>龙力生物放款收费情况</t>
  </si>
  <si>
    <t>收款时间</t>
  </si>
  <si>
    <t>共计</t>
  </si>
  <si>
    <t>升达1期放款收费情况</t>
  </si>
  <si>
    <t>升达2期放款收费情况</t>
  </si>
  <si>
    <t>升达3期放款收费情况</t>
  </si>
  <si>
    <t>乐语6期放款收费情况</t>
  </si>
  <si>
    <t>乐语7期放款收费情况</t>
  </si>
  <si>
    <t>乐语5期放款收费情况</t>
  </si>
  <si>
    <t>乐语8期放款收费情况</t>
  </si>
  <si>
    <t>乐语9期放款收费情况</t>
  </si>
  <si>
    <t>中麦2期放款收费情况</t>
  </si>
  <si>
    <t>盛运1期放款收费情况</t>
  </si>
  <si>
    <t>盛运2期放款收费情况</t>
  </si>
  <si>
    <t>盛运3期放款收费情况</t>
  </si>
  <si>
    <t>华英4期短借放款收费情况</t>
  </si>
  <si>
    <t>永泰控股短借放款收费情况</t>
  </si>
  <si>
    <t>中麦信通放款收费情况</t>
  </si>
  <si>
    <t>中孚1期放款收费情况</t>
  </si>
  <si>
    <t>中孚2期短借放款收费情况</t>
  </si>
  <si>
    <t>中孚3期短借放款收费情况</t>
  </si>
  <si>
    <r>
      <rPr>
        <sz val="11"/>
        <color theme="1"/>
        <rFont val="宋体"/>
        <charset val="134"/>
      </rPr>
      <t>2</t>
    </r>
    <r>
      <rPr>
        <sz val="11"/>
        <color theme="1"/>
        <rFont val="宋体"/>
        <charset val="134"/>
      </rPr>
      <t>017.1.6</t>
    </r>
  </si>
  <si>
    <t>中孚4期短借放款收费情况</t>
  </si>
  <si>
    <t>德莱顿放款收费情况</t>
  </si>
  <si>
    <t>汇高商贸放款收费情况</t>
  </si>
  <si>
    <t>鼎立控股放款收费情况</t>
  </si>
  <si>
    <t>旗帜4期放款收费情况</t>
  </si>
  <si>
    <t>旗帜5期放款收费情况</t>
  </si>
  <si>
    <t>中昌2期放款收费情况</t>
  </si>
  <si>
    <t>中昌航道放款收费情况</t>
  </si>
  <si>
    <t>华英4期（短借）放款收费情况</t>
  </si>
  <si>
    <t>天成控股（长征电气）放款收费情况</t>
  </si>
  <si>
    <t>天成控股（银河开关）放款收费情况</t>
  </si>
  <si>
    <t>天成3期放款收费情况</t>
  </si>
  <si>
    <t>天成4期放款收费情况</t>
  </si>
  <si>
    <t>天成5期放款收费情况</t>
  </si>
  <si>
    <t>汇源1期放款收费情况</t>
  </si>
  <si>
    <t>猛狮3期放款收费情况</t>
  </si>
  <si>
    <t>恒润华创放款收费情况</t>
  </si>
  <si>
    <t>前海圆舟放款收费情况</t>
  </si>
  <si>
    <t>尤夫2期放款收费情况</t>
  </si>
  <si>
    <t>尤夫1期放款收费情况</t>
  </si>
  <si>
    <t>宏达矿业放款收费情况</t>
  </si>
  <si>
    <t>中孚5期放款收费情况</t>
  </si>
  <si>
    <t>猛狮2期放款收费情况</t>
  </si>
  <si>
    <t>格洛斯（金盾1期）放款收费情况</t>
  </si>
  <si>
    <t>金盾2期放款收费情况</t>
  </si>
  <si>
    <t>融钰1期放款收费情况</t>
  </si>
  <si>
    <t>融钰2期放款收费情况</t>
  </si>
  <si>
    <t>山水环境放款收费情况</t>
  </si>
  <si>
    <t>天成2期长征电气1放款收费情况</t>
  </si>
  <si>
    <t>天成2期（长征电气2）放款收费情况</t>
  </si>
  <si>
    <t>天成2期（银河开关）放款收费情况</t>
  </si>
  <si>
    <t>中麦4期放款收费情况</t>
  </si>
  <si>
    <t>升达4期放款收费情况</t>
  </si>
  <si>
    <t>收放款总表</t>
  </si>
  <si>
    <t>驿家科技放款收费情况</t>
  </si>
  <si>
    <t>长城集团放款收费情况</t>
  </si>
  <si>
    <t>升达5期放款收费情况</t>
  </si>
  <si>
    <t>沃泰通放款收费情况</t>
  </si>
  <si>
    <t>猛狮科技管理表</t>
  </si>
  <si>
    <t>天业2期放款收费情况</t>
  </si>
  <si>
    <t>九兴能源放款收费情况</t>
  </si>
  <si>
    <t>冠福1期放款收费情况</t>
  </si>
  <si>
    <t>到期/收款时间</t>
  </si>
  <si>
    <t>盛运4期放款收费情况</t>
  </si>
  <si>
    <t>盛运5期放款收费情况</t>
  </si>
  <si>
    <t>天翔3期放款收费情况</t>
  </si>
  <si>
    <t>实收金额</t>
  </si>
  <si>
    <t>亿阳3期放款收费情况</t>
  </si>
  <si>
    <t>中麦3期放款收费情况</t>
  </si>
  <si>
    <t>逾期利息</t>
  </si>
  <si>
    <t>天业3期放款收费情况</t>
  </si>
  <si>
    <t>升达6期放款收费情况</t>
  </si>
  <si>
    <t>天翔1期放款收费情况</t>
  </si>
  <si>
    <t>天翔2期放款收费情况</t>
  </si>
</sst>
</file>

<file path=xl/styles.xml><?xml version="1.0" encoding="utf-8"?>
<styleSheet xmlns="http://schemas.openxmlformats.org/spreadsheetml/2006/main">
  <numFmts count="5">
    <numFmt numFmtId="42" formatCode="_ &quot;￥&quot;* #,##0_ ;_ &quot;￥&quot;* \-#,##0_ ;_ &quot;￥&quot;* &quot;-&quot;_ ;_ @_ "/>
    <numFmt numFmtId="44" formatCode="_ &quot;￥&quot;* #,##0.00_ ;_ &quot;￥&quot;* \-#,##0.00_ ;_ &quot;￥&quot;* &quot;-&quot;??_ ;_ @_ "/>
    <numFmt numFmtId="43" formatCode="_ * #,##0.00_ ;_ * \-#,##0.00_ ;_ * &quot;-&quot;??_ ;_ @_ "/>
    <numFmt numFmtId="41" formatCode="_ * #,##0_ ;_ * \-#,##0_ ;_ * &quot;-&quot;_ ;_ @_ "/>
    <numFmt numFmtId="176" formatCode="0.0%"/>
  </numFmts>
  <fonts count="50">
    <font>
      <sz val="11"/>
      <color theme="1"/>
      <name val="宋体"/>
      <charset val="134"/>
      <scheme val="minor"/>
    </font>
    <font>
      <b/>
      <sz val="14"/>
      <color theme="1"/>
      <name val="宋体"/>
      <charset val="134"/>
      <scheme val="minor"/>
    </font>
    <font>
      <b/>
      <sz val="11"/>
      <color theme="0"/>
      <name val="宋体"/>
      <charset val="134"/>
      <scheme val="minor"/>
    </font>
    <font>
      <u/>
      <sz val="11"/>
      <color theme="10"/>
      <name val="宋体"/>
      <charset val="134"/>
      <scheme val="minor"/>
    </font>
    <font>
      <b/>
      <sz val="8"/>
      <color theme="0"/>
      <name val="宋体"/>
      <charset val="134"/>
      <scheme val="minor"/>
    </font>
    <font>
      <b/>
      <sz val="16"/>
      <color theme="1"/>
      <name val="宋体"/>
      <charset val="134"/>
      <scheme val="minor"/>
    </font>
    <font>
      <sz val="11"/>
      <color theme="1"/>
      <name val="宋体"/>
      <charset val="134"/>
      <scheme val="minor"/>
    </font>
    <font>
      <sz val="9"/>
      <color theme="1"/>
      <name val="宋体"/>
      <charset val="134"/>
      <scheme val="minor"/>
    </font>
    <font>
      <b/>
      <sz val="9"/>
      <color theme="1"/>
      <name val="宋体"/>
      <charset val="134"/>
      <scheme val="minor"/>
    </font>
    <font>
      <b/>
      <sz val="11"/>
      <color rgb="FFFF0000"/>
      <name val="宋体"/>
      <charset val="134"/>
      <scheme val="minor"/>
    </font>
    <font>
      <b/>
      <sz val="11"/>
      <color rgb="FFC00000"/>
      <name val="宋体"/>
      <charset val="134"/>
      <scheme val="minor"/>
    </font>
    <font>
      <b/>
      <sz val="18"/>
      <name val="宋体"/>
      <charset val="134"/>
      <scheme val="minor"/>
    </font>
    <font>
      <b/>
      <sz val="11"/>
      <color theme="1"/>
      <name val="宋体"/>
      <charset val="134"/>
      <scheme val="minor"/>
    </font>
    <font>
      <b/>
      <sz val="22"/>
      <color theme="0"/>
      <name val="宋体"/>
      <charset val="134"/>
      <scheme val="minor"/>
    </font>
    <font>
      <b/>
      <u/>
      <sz val="11"/>
      <color rgb="FFFF0000"/>
      <name val="宋体"/>
      <charset val="134"/>
      <scheme val="minor"/>
    </font>
    <font>
      <sz val="11"/>
      <color rgb="FFFF0000"/>
      <name val="宋体"/>
      <charset val="134"/>
      <scheme val="minor"/>
    </font>
    <font>
      <b/>
      <sz val="10"/>
      <color theme="1"/>
      <name val="宋体"/>
      <charset val="134"/>
      <scheme val="minor"/>
    </font>
    <font>
      <sz val="10"/>
      <color theme="1"/>
      <name val="宋体"/>
      <charset val="134"/>
      <scheme val="minor"/>
    </font>
    <font>
      <sz val="9"/>
      <color theme="0"/>
      <name val="宋体"/>
      <charset val="134"/>
      <scheme val="minor"/>
    </font>
    <font>
      <sz val="10"/>
      <color theme="0"/>
      <name val="宋体"/>
      <charset val="134"/>
      <scheme val="minor"/>
    </font>
    <font>
      <sz val="10"/>
      <color rgb="FF573E7E"/>
      <name val="宋体"/>
      <charset val="134"/>
      <scheme val="minor"/>
    </font>
    <font>
      <b/>
      <sz val="11"/>
      <color rgb="FF573E7E"/>
      <name val="宋体"/>
      <charset val="134"/>
      <scheme val="minor"/>
    </font>
    <font>
      <b/>
      <sz val="16"/>
      <color rgb="FFFF0000"/>
      <name val="黑体"/>
      <charset val="134"/>
    </font>
    <font>
      <sz val="9"/>
      <color rgb="FF573E7E"/>
      <name val="宋体"/>
      <charset val="134"/>
      <scheme val="minor"/>
    </font>
    <font>
      <b/>
      <sz val="10"/>
      <color rgb="FFFF0000"/>
      <name val="宋体"/>
      <charset val="134"/>
      <scheme val="minor"/>
    </font>
    <font>
      <u/>
      <sz val="9"/>
      <color theme="10"/>
      <name val="宋体"/>
      <charset val="134"/>
      <scheme val="minor"/>
    </font>
    <font>
      <sz val="9"/>
      <color rgb="FFFF0000"/>
      <name val="宋体"/>
      <charset val="134"/>
      <scheme val="minor"/>
    </font>
    <font>
      <u/>
      <sz val="10"/>
      <color theme="10"/>
      <name val="宋体"/>
      <charset val="134"/>
      <scheme val="minor"/>
    </font>
    <font>
      <u/>
      <sz val="10"/>
      <color theme="10"/>
      <name val="宋体"/>
      <charset val="134"/>
      <scheme val="minor"/>
    </font>
    <font>
      <sz val="10"/>
      <name val="宋体"/>
      <charset val="134"/>
      <scheme val="minor"/>
    </font>
    <font>
      <sz val="11"/>
      <color theme="1"/>
      <name val="宋体"/>
      <charset val="134"/>
      <scheme val="minor"/>
    </font>
    <font>
      <b/>
      <sz val="11"/>
      <color rgb="FFFA7D00"/>
      <name val="宋体"/>
      <charset val="0"/>
      <scheme val="minor"/>
    </font>
    <font>
      <b/>
      <sz val="13"/>
      <color theme="3"/>
      <name val="宋体"/>
      <charset val="134"/>
      <scheme val="minor"/>
    </font>
    <font>
      <i/>
      <sz val="11"/>
      <color rgb="FF7F7F7F"/>
      <name val="宋体"/>
      <charset val="0"/>
      <scheme val="minor"/>
    </font>
    <font>
      <sz val="11"/>
      <color rgb="FF3F3F76"/>
      <name val="宋体"/>
      <charset val="0"/>
      <scheme val="minor"/>
    </font>
    <font>
      <u/>
      <sz val="11"/>
      <color rgb="FF800080"/>
      <name val="宋体"/>
      <charset val="0"/>
      <scheme val="minor"/>
    </font>
    <font>
      <b/>
      <sz val="18"/>
      <color theme="3"/>
      <name val="宋体"/>
      <charset val="134"/>
      <scheme val="minor"/>
    </font>
    <font>
      <sz val="11"/>
      <color theme="0"/>
      <name val="宋体"/>
      <charset val="0"/>
      <scheme val="minor"/>
    </font>
    <font>
      <sz val="11"/>
      <color rgb="FF9C0006"/>
      <name val="宋体"/>
      <charset val="0"/>
      <scheme val="minor"/>
    </font>
    <font>
      <sz val="11"/>
      <color theme="1"/>
      <name val="宋体"/>
      <charset val="0"/>
      <scheme val="minor"/>
    </font>
    <font>
      <sz val="11"/>
      <color rgb="FF9C6500"/>
      <name val="宋体"/>
      <charset val="0"/>
      <scheme val="minor"/>
    </font>
    <font>
      <sz val="11"/>
      <color rgb="FFFA7D00"/>
      <name val="宋体"/>
      <charset val="0"/>
      <scheme val="minor"/>
    </font>
    <font>
      <b/>
      <sz val="11"/>
      <color theme="3"/>
      <name val="宋体"/>
      <charset val="134"/>
      <scheme val="minor"/>
    </font>
    <font>
      <sz val="11"/>
      <color rgb="FFFF0000"/>
      <name val="宋体"/>
      <charset val="0"/>
      <scheme val="minor"/>
    </font>
    <font>
      <b/>
      <sz val="11"/>
      <color rgb="FFFFFFFF"/>
      <name val="宋体"/>
      <charset val="0"/>
      <scheme val="minor"/>
    </font>
    <font>
      <b/>
      <sz val="11"/>
      <color rgb="FF3F3F3F"/>
      <name val="宋体"/>
      <charset val="0"/>
      <scheme val="minor"/>
    </font>
    <font>
      <b/>
      <sz val="15"/>
      <color theme="3"/>
      <name val="宋体"/>
      <charset val="134"/>
      <scheme val="minor"/>
    </font>
    <font>
      <b/>
      <sz val="11"/>
      <color theme="1"/>
      <name val="宋体"/>
      <charset val="0"/>
      <scheme val="minor"/>
    </font>
    <font>
      <sz val="11"/>
      <color theme="0"/>
      <name val="宋体"/>
      <charset val="134"/>
      <scheme val="minor"/>
    </font>
    <font>
      <sz val="11"/>
      <color rgb="FF006100"/>
      <name val="宋体"/>
      <charset val="0"/>
      <scheme val="minor"/>
    </font>
  </fonts>
  <fills count="35">
    <fill>
      <patternFill patternType="none"/>
    </fill>
    <fill>
      <patternFill patternType="gray125"/>
    </fill>
    <fill>
      <patternFill patternType="solid">
        <fgColor theme="8"/>
        <bgColor indexed="64"/>
      </patternFill>
    </fill>
    <fill>
      <patternFill patternType="solid">
        <fgColor theme="8" tint="0.799981688894314"/>
        <bgColor indexed="64"/>
      </patternFill>
    </fill>
    <fill>
      <patternFill patternType="solid">
        <fgColor theme="9" tint="0.799981688894314"/>
        <bgColor indexed="64"/>
      </patternFill>
    </fill>
    <fill>
      <patternFill patternType="solid">
        <fgColor theme="8" tint="0.399975585192419"/>
        <bgColor indexed="64"/>
      </patternFill>
    </fill>
    <fill>
      <patternFill patternType="solid">
        <fgColor rgb="FFFFFF00"/>
        <bgColor indexed="64"/>
      </patternFill>
    </fill>
    <fill>
      <patternFill patternType="solid">
        <fgColor rgb="FFFFFFCC"/>
        <bgColor indexed="64"/>
      </patternFill>
    </fill>
    <fill>
      <patternFill patternType="solid">
        <fgColor rgb="FFF2F2F2"/>
        <bgColor indexed="64"/>
      </patternFill>
    </fill>
    <fill>
      <patternFill patternType="solid">
        <fgColor rgb="FFFFCC99"/>
        <bgColor indexed="64"/>
      </patternFill>
    </fill>
    <fill>
      <patternFill patternType="solid">
        <fgColor theme="5"/>
        <bgColor indexed="64"/>
      </patternFill>
    </fill>
    <fill>
      <patternFill patternType="solid">
        <fgColor theme="7" tint="0.399975585192419"/>
        <bgColor indexed="64"/>
      </patternFill>
    </fill>
    <fill>
      <patternFill patternType="solid">
        <fgColor rgb="FFFFC7CE"/>
        <bgColor indexed="64"/>
      </patternFill>
    </fill>
    <fill>
      <patternFill patternType="solid">
        <fgColor theme="9" tint="0.599993896298105"/>
        <bgColor indexed="64"/>
      </patternFill>
    </fill>
    <fill>
      <patternFill patternType="solid">
        <fgColor theme="5" tint="0.599993896298105"/>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bgColor indexed="64"/>
      </patternFill>
    </fill>
    <fill>
      <patternFill patternType="solid">
        <fgColor rgb="FFFFEB9C"/>
        <bgColor indexed="64"/>
      </patternFill>
    </fill>
    <fill>
      <patternFill patternType="solid">
        <fgColor theme="6" tint="0.399975585192419"/>
        <bgColor indexed="64"/>
      </patternFill>
    </fill>
    <fill>
      <patternFill patternType="solid">
        <fgColor theme="7" tint="0.799981688894314"/>
        <bgColor indexed="64"/>
      </patternFill>
    </fill>
    <fill>
      <patternFill patternType="solid">
        <fgColor theme="4" tint="0.799981688894314"/>
        <bgColor indexed="64"/>
      </patternFill>
    </fill>
    <fill>
      <patternFill patternType="solid">
        <fgColor theme="5" tint="0.399975585192419"/>
        <bgColor indexed="64"/>
      </patternFill>
    </fill>
    <fill>
      <patternFill patternType="solid">
        <fgColor rgb="FFA5A5A5"/>
        <bgColor indexed="64"/>
      </patternFill>
    </fill>
    <fill>
      <patternFill patternType="solid">
        <fgColor theme="9" tint="0.399975585192419"/>
        <bgColor indexed="64"/>
      </patternFill>
    </fill>
    <fill>
      <patternFill patternType="solid">
        <fgColor theme="8" tint="0.599993896298105"/>
        <bgColor indexed="64"/>
      </patternFill>
    </fill>
    <fill>
      <patternFill patternType="solid">
        <fgColor theme="4" tint="0.399975585192419"/>
        <bgColor indexed="64"/>
      </patternFill>
    </fill>
    <fill>
      <patternFill patternType="solid">
        <fgColor theme="7" tint="0.599993896298105"/>
        <bgColor indexed="64"/>
      </patternFill>
    </fill>
    <fill>
      <patternFill patternType="solid">
        <fgColor theme="7"/>
        <bgColor indexed="64"/>
      </patternFill>
    </fill>
    <fill>
      <patternFill patternType="solid">
        <fgColor theme="4"/>
        <bgColor indexed="64"/>
      </patternFill>
    </fill>
    <fill>
      <patternFill patternType="solid">
        <fgColor theme="9" tint="0.799981688894314"/>
        <bgColor indexed="64"/>
      </patternFill>
    </fill>
    <fill>
      <patternFill patternType="solid">
        <fgColor theme="5" tint="0.799981688894314"/>
        <bgColor indexed="64"/>
      </patternFill>
    </fill>
    <fill>
      <patternFill patternType="solid">
        <fgColor rgb="FFC6EFCE"/>
        <bgColor indexed="64"/>
      </patternFill>
    </fill>
    <fill>
      <patternFill patternType="solid">
        <fgColor theme="9"/>
        <bgColor indexed="64"/>
      </patternFill>
    </fill>
    <fill>
      <patternFill patternType="solid">
        <fgColor theme="4" tint="0.599993896298105"/>
        <bgColor indexed="64"/>
      </patternFill>
    </fill>
  </fills>
  <borders count="18">
    <border>
      <left/>
      <right/>
      <top/>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auto="1"/>
      </left>
      <right style="thin">
        <color auto="1"/>
      </right>
      <top style="thin">
        <color auto="1"/>
      </top>
      <bottom style="thin">
        <color auto="1"/>
      </bottom>
      <diagonal/>
    </border>
    <border>
      <left style="thick">
        <color theme="2"/>
      </left>
      <right style="thick">
        <color theme="2"/>
      </right>
      <top style="thick">
        <color theme="2"/>
      </top>
      <bottom style="thick">
        <color theme="2"/>
      </bottom>
      <diagonal/>
    </border>
    <border>
      <left style="thick">
        <color theme="2"/>
      </left>
      <right/>
      <top style="thick">
        <color theme="2"/>
      </top>
      <bottom style="thick">
        <color theme="2"/>
      </bottom>
      <diagonal/>
    </border>
    <border>
      <left/>
      <right style="thick">
        <color theme="2"/>
      </right>
      <top style="thick">
        <color theme="2"/>
      </top>
      <bottom style="thick">
        <color theme="2"/>
      </bottom>
      <diagonal/>
    </border>
    <border>
      <left style="thick">
        <color theme="2"/>
      </left>
      <right style="thick">
        <color theme="2"/>
      </right>
      <top/>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right/>
      <top/>
      <bottom style="double">
        <color rgb="FFFF8001"/>
      </bottom>
      <diagonal/>
    </border>
    <border>
      <left/>
      <right/>
      <top/>
      <bottom style="medium">
        <color theme="4" tint="0.499984740745262"/>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s>
  <cellStyleXfs count="49">
    <xf numFmtId="0" fontId="0" fillId="0" borderId="0">
      <alignment vertical="center"/>
    </xf>
    <xf numFmtId="42" fontId="30" fillId="0" borderId="0" applyFont="0" applyFill="0" applyBorder="0" applyAlignment="0" applyProtection="0">
      <alignment vertical="center"/>
    </xf>
    <xf numFmtId="0" fontId="39" fillId="15" borderId="0" applyNumberFormat="0" applyBorder="0" applyAlignment="0" applyProtection="0">
      <alignment vertical="center"/>
    </xf>
    <xf numFmtId="0" fontId="34" fillId="9" borderId="11" applyNumberFormat="0" applyAlignment="0" applyProtection="0">
      <alignment vertical="center"/>
    </xf>
    <xf numFmtId="44" fontId="30" fillId="0" borderId="0" applyFont="0" applyFill="0" applyBorder="0" applyAlignment="0" applyProtection="0">
      <alignment vertical="center"/>
    </xf>
    <xf numFmtId="41" fontId="30" fillId="0" borderId="0" applyFont="0" applyFill="0" applyBorder="0" applyAlignment="0" applyProtection="0">
      <alignment vertical="center"/>
    </xf>
    <xf numFmtId="0" fontId="39" fillId="16" borderId="0" applyNumberFormat="0" applyBorder="0" applyAlignment="0" applyProtection="0">
      <alignment vertical="center"/>
    </xf>
    <xf numFmtId="0" fontId="38" fillId="12" borderId="0" applyNumberFormat="0" applyBorder="0" applyAlignment="0" applyProtection="0">
      <alignment vertical="center"/>
    </xf>
    <xf numFmtId="43" fontId="0" fillId="0" borderId="0" applyFont="0" applyFill="0" applyBorder="0" applyAlignment="0" applyProtection="0">
      <alignment vertical="center"/>
    </xf>
    <xf numFmtId="0" fontId="37" fillId="19" borderId="0" applyNumberFormat="0" applyBorder="0" applyAlignment="0" applyProtection="0">
      <alignment vertical="center"/>
    </xf>
    <xf numFmtId="0" fontId="3" fillId="0" borderId="0" applyNumberFormat="0" applyFill="0" applyBorder="0" applyAlignment="0" applyProtection="0">
      <alignment vertical="center"/>
    </xf>
    <xf numFmtId="9" fontId="0" fillId="0" borderId="0" applyFont="0" applyFill="0" applyBorder="0" applyAlignment="0" applyProtection="0">
      <alignment vertical="center"/>
    </xf>
    <xf numFmtId="0" fontId="35" fillId="0" borderId="0" applyNumberFormat="0" applyFill="0" applyBorder="0" applyAlignment="0" applyProtection="0">
      <alignment vertical="center"/>
    </xf>
    <xf numFmtId="0" fontId="30" fillId="7" borderId="10" applyNumberFormat="0" applyFont="0" applyAlignment="0" applyProtection="0">
      <alignment vertical="center"/>
    </xf>
    <xf numFmtId="0" fontId="37" fillId="22" borderId="0" applyNumberFormat="0" applyBorder="0" applyAlignment="0" applyProtection="0">
      <alignment vertical="center"/>
    </xf>
    <xf numFmtId="0" fontId="42" fillId="0" borderId="0" applyNumberFormat="0" applyFill="0" applyBorder="0" applyAlignment="0" applyProtection="0">
      <alignment vertical="center"/>
    </xf>
    <xf numFmtId="0" fontId="43"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46" fillId="0" borderId="12" applyNumberFormat="0" applyFill="0" applyAlignment="0" applyProtection="0">
      <alignment vertical="center"/>
    </xf>
    <xf numFmtId="0" fontId="32" fillId="0" borderId="12" applyNumberFormat="0" applyFill="0" applyAlignment="0" applyProtection="0">
      <alignment vertical="center"/>
    </xf>
    <xf numFmtId="0" fontId="37" fillId="26" borderId="0" applyNumberFormat="0" applyBorder="0" applyAlignment="0" applyProtection="0">
      <alignment vertical="center"/>
    </xf>
    <xf numFmtId="0" fontId="42" fillId="0" borderId="14" applyNumberFormat="0" applyFill="0" applyAlignment="0" applyProtection="0">
      <alignment vertical="center"/>
    </xf>
    <xf numFmtId="0" fontId="37" fillId="11" borderId="0" applyNumberFormat="0" applyBorder="0" applyAlignment="0" applyProtection="0">
      <alignment vertical="center"/>
    </xf>
    <xf numFmtId="0" fontId="45" fillId="8" borderId="16" applyNumberFormat="0" applyAlignment="0" applyProtection="0">
      <alignment vertical="center"/>
    </xf>
    <xf numFmtId="0" fontId="31" fillId="8" borderId="11" applyNumberFormat="0" applyAlignment="0" applyProtection="0">
      <alignment vertical="center"/>
    </xf>
    <xf numFmtId="0" fontId="44" fillId="23" borderId="15" applyNumberFormat="0" applyAlignment="0" applyProtection="0">
      <alignment vertical="center"/>
    </xf>
    <xf numFmtId="0" fontId="39" fillId="30" borderId="0" applyNumberFormat="0" applyBorder="0" applyAlignment="0" applyProtection="0">
      <alignment vertical="center"/>
    </xf>
    <xf numFmtId="0" fontId="37" fillId="10" borderId="0" applyNumberFormat="0" applyBorder="0" applyAlignment="0" applyProtection="0">
      <alignment vertical="center"/>
    </xf>
    <xf numFmtId="0" fontId="41" fillId="0" borderId="13" applyNumberFormat="0" applyFill="0" applyAlignment="0" applyProtection="0">
      <alignment vertical="center"/>
    </xf>
    <xf numFmtId="0" fontId="47" fillId="0" borderId="17" applyNumberFormat="0" applyFill="0" applyAlignment="0" applyProtection="0">
      <alignment vertical="center"/>
    </xf>
    <xf numFmtId="0" fontId="49" fillId="32" borderId="0" applyNumberFormat="0" applyBorder="0" applyAlignment="0" applyProtection="0">
      <alignment vertical="center"/>
    </xf>
    <xf numFmtId="0" fontId="40" fillId="18" borderId="0" applyNumberFormat="0" applyBorder="0" applyAlignment="0" applyProtection="0">
      <alignment vertical="center"/>
    </xf>
    <xf numFmtId="0" fontId="0" fillId="3" borderId="0" applyNumberFormat="0" applyBorder="0" applyAlignment="0" applyProtection="0">
      <alignment vertical="center"/>
    </xf>
    <xf numFmtId="0" fontId="37" fillId="29" borderId="0" applyNumberFormat="0" applyBorder="0" applyAlignment="0" applyProtection="0">
      <alignment vertical="center"/>
    </xf>
    <xf numFmtId="0" fontId="39" fillId="21" borderId="0" applyNumberFormat="0" applyBorder="0" applyAlignment="0" applyProtection="0">
      <alignment vertical="center"/>
    </xf>
    <xf numFmtId="0" fontId="39" fillId="34" borderId="0" applyNumberFormat="0" applyBorder="0" applyAlignment="0" applyProtection="0">
      <alignment vertical="center"/>
    </xf>
    <xf numFmtId="0" fontId="39" fillId="31" borderId="0" applyNumberFormat="0" applyBorder="0" applyAlignment="0" applyProtection="0">
      <alignment vertical="center"/>
    </xf>
    <xf numFmtId="0" fontId="39" fillId="14" borderId="0" applyNumberFormat="0" applyBorder="0" applyAlignment="0" applyProtection="0">
      <alignment vertical="center"/>
    </xf>
    <xf numFmtId="0" fontId="37" fillId="17" borderId="0" applyNumberFormat="0" applyBorder="0" applyAlignment="0" applyProtection="0">
      <alignment vertical="center"/>
    </xf>
    <xf numFmtId="0" fontId="48" fillId="28" borderId="0" applyNumberFormat="0" applyBorder="0" applyAlignment="0" applyProtection="0">
      <alignment vertical="center"/>
    </xf>
    <xf numFmtId="0" fontId="39" fillId="20" borderId="0" applyNumberFormat="0" applyBorder="0" applyAlignment="0" applyProtection="0">
      <alignment vertical="center"/>
    </xf>
    <xf numFmtId="0" fontId="39" fillId="27" borderId="0" applyNumberFormat="0" applyBorder="0" applyAlignment="0" applyProtection="0">
      <alignment vertical="center"/>
    </xf>
    <xf numFmtId="0" fontId="48" fillId="2" borderId="0" applyNumberFormat="0" applyBorder="0" applyAlignment="0" applyProtection="0">
      <alignment vertical="center"/>
    </xf>
    <xf numFmtId="0" fontId="39" fillId="25" borderId="0" applyNumberFormat="0" applyBorder="0" applyAlignment="0" applyProtection="0">
      <alignment vertical="center"/>
    </xf>
    <xf numFmtId="0" fontId="48" fillId="5" borderId="0" applyNumberFormat="0" applyBorder="0" applyAlignment="0" applyProtection="0">
      <alignment vertical="center"/>
    </xf>
    <xf numFmtId="0" fontId="37" fillId="33" borderId="0" applyNumberFormat="0" applyBorder="0" applyAlignment="0" applyProtection="0">
      <alignment vertical="center"/>
    </xf>
    <xf numFmtId="0" fontId="39" fillId="13" borderId="0" applyNumberFormat="0" applyBorder="0" applyAlignment="0" applyProtection="0">
      <alignment vertical="center"/>
    </xf>
    <xf numFmtId="0" fontId="37" fillId="24" borderId="0" applyNumberFormat="0" applyBorder="0" applyAlignment="0" applyProtection="0">
      <alignment vertical="center"/>
    </xf>
  </cellStyleXfs>
  <cellXfs count="145">
    <xf numFmtId="0" fontId="0" fillId="0" borderId="0" xfId="0">
      <alignment vertical="center"/>
    </xf>
    <xf numFmtId="0" fontId="1" fillId="0" borderId="1" xfId="0" applyFont="1" applyBorder="1" applyAlignment="1">
      <alignment horizontal="center" vertical="center"/>
    </xf>
    <xf numFmtId="0" fontId="1" fillId="0" borderId="0" xfId="0" applyFont="1" applyBorder="1" applyAlignment="1">
      <alignment horizontal="center" vertical="center"/>
    </xf>
    <xf numFmtId="0" fontId="2" fillId="2" borderId="2" xfId="43" applyFont="1" applyBorder="1" applyAlignment="1">
      <alignment horizontal="center" vertical="center"/>
    </xf>
    <xf numFmtId="0" fontId="2" fillId="2" borderId="0" xfId="43" applyFont="1" applyBorder="1" applyAlignment="1">
      <alignment horizontal="center" vertical="center"/>
    </xf>
    <xf numFmtId="14" fontId="0" fillId="3" borderId="2" xfId="33" applyNumberFormat="1" applyFont="1" applyBorder="1" applyAlignment="1">
      <alignment horizontal="center" vertical="center"/>
    </xf>
    <xf numFmtId="14" fontId="0" fillId="3" borderId="2" xfId="33" applyNumberFormat="1" applyBorder="1">
      <alignment vertical="center"/>
    </xf>
    <xf numFmtId="43" fontId="0" fillId="3" borderId="2" xfId="8" applyFont="1" applyFill="1" applyBorder="1" applyAlignment="1">
      <alignment horizontal="left" vertical="center"/>
    </xf>
    <xf numFmtId="43" fontId="0" fillId="3" borderId="2" xfId="33" applyNumberFormat="1" applyBorder="1" applyAlignment="1">
      <alignment vertical="center"/>
    </xf>
    <xf numFmtId="43" fontId="0" fillId="3" borderId="2" xfId="33" applyNumberFormat="1" applyBorder="1">
      <alignment vertical="center"/>
    </xf>
    <xf numFmtId="43" fontId="0" fillId="3" borderId="3" xfId="33" applyNumberFormat="1" applyBorder="1" applyAlignment="1">
      <alignment vertical="center"/>
    </xf>
    <xf numFmtId="43" fontId="0" fillId="0" borderId="0" xfId="0" applyNumberFormat="1">
      <alignment vertical="center"/>
    </xf>
    <xf numFmtId="0" fontId="3" fillId="0" borderId="0" xfId="10">
      <alignment vertical="center"/>
    </xf>
    <xf numFmtId="14" fontId="0" fillId="3" borderId="2" xfId="33" applyNumberFormat="1" applyFont="1" applyBorder="1">
      <alignment vertical="center"/>
    </xf>
    <xf numFmtId="43" fontId="0" fillId="3" borderId="2" xfId="8" applyFill="1" applyBorder="1">
      <alignment vertical="center"/>
    </xf>
    <xf numFmtId="14" fontId="0" fillId="3" borderId="2" xfId="33" applyNumberFormat="1" applyBorder="1" applyAlignment="1">
      <alignment horizontal="center" vertical="center"/>
    </xf>
    <xf numFmtId="43" fontId="0" fillId="3" borderId="2" xfId="33" applyNumberFormat="1" applyBorder="1" applyAlignment="1">
      <alignment horizontal="center" vertical="center"/>
    </xf>
    <xf numFmtId="14" fontId="0" fillId="3" borderId="3" xfId="33" applyNumberFormat="1" applyBorder="1">
      <alignment vertical="center"/>
    </xf>
    <xf numFmtId="0" fontId="4" fillId="2" borderId="2" xfId="43" applyFont="1" applyBorder="1" applyAlignment="1">
      <alignment horizontal="center" vertical="center"/>
    </xf>
    <xf numFmtId="14" fontId="0" fillId="3" borderId="0" xfId="33" applyNumberFormat="1" applyBorder="1">
      <alignment vertical="center"/>
    </xf>
    <xf numFmtId="43" fontId="0" fillId="3" borderId="0" xfId="33" applyNumberFormat="1" applyBorder="1">
      <alignment vertical="center"/>
    </xf>
    <xf numFmtId="14" fontId="0" fillId="3" borderId="0" xfId="33" applyNumberFormat="1" applyFont="1" applyBorder="1">
      <alignment vertical="center"/>
    </xf>
    <xf numFmtId="0" fontId="5" fillId="0" borderId="0" xfId="0" applyFont="1" applyAlignment="1">
      <alignment horizontal="center" vertical="center"/>
    </xf>
    <xf numFmtId="14" fontId="6" fillId="3" borderId="2" xfId="33" applyNumberFormat="1" applyFont="1" applyBorder="1">
      <alignment vertical="center"/>
    </xf>
    <xf numFmtId="14" fontId="0" fillId="3" borderId="2" xfId="33" applyNumberFormat="1" applyBorder="1" applyAlignment="1">
      <alignment vertical="center"/>
    </xf>
    <xf numFmtId="43" fontId="0" fillId="3" borderId="2" xfId="8" applyFill="1" applyBorder="1" applyAlignment="1">
      <alignment vertical="center"/>
    </xf>
    <xf numFmtId="14" fontId="0" fillId="3" borderId="2" xfId="33" applyNumberFormat="1" applyFont="1" applyBorder="1" applyAlignment="1">
      <alignment horizontal="right" vertical="center"/>
    </xf>
    <xf numFmtId="0" fontId="7" fillId="0" borderId="0" xfId="0" applyFont="1" applyAlignment="1">
      <alignment horizontal="center" vertical="center"/>
    </xf>
    <xf numFmtId="14" fontId="0" fillId="3" borderId="2" xfId="33" applyNumberFormat="1" applyFont="1" applyBorder="1" applyAlignment="1">
      <alignment horizontal="left" vertical="center"/>
    </xf>
    <xf numFmtId="43" fontId="0" fillId="3" borderId="2" xfId="33" applyNumberFormat="1" applyFont="1" applyBorder="1">
      <alignment vertical="center"/>
    </xf>
    <xf numFmtId="0" fontId="8" fillId="0" borderId="0" xfId="0" applyFont="1" applyFill="1" applyAlignment="1">
      <alignment horizontal="center" vertical="center" wrapText="1"/>
    </xf>
    <xf numFmtId="176" fontId="7" fillId="0" borderId="0" xfId="0" applyNumberFormat="1" applyFont="1" applyAlignment="1">
      <alignment horizontal="center" vertical="center"/>
    </xf>
    <xf numFmtId="176" fontId="7" fillId="0" borderId="0" xfId="11" applyNumberFormat="1" applyFont="1" applyAlignment="1">
      <alignment horizontal="center" vertical="center"/>
    </xf>
    <xf numFmtId="9" fontId="7" fillId="0" borderId="0" xfId="0" applyNumberFormat="1" applyFont="1" applyAlignment="1">
      <alignment horizontal="center" vertical="center"/>
    </xf>
    <xf numFmtId="0" fontId="7" fillId="0" borderId="0" xfId="0" applyFont="1" applyAlignment="1">
      <alignment horizontal="center" vertical="center" wrapText="1"/>
    </xf>
    <xf numFmtId="10" fontId="0" fillId="0" borderId="0" xfId="11" applyNumberFormat="1" applyFont="1">
      <alignment vertical="center"/>
    </xf>
    <xf numFmtId="0" fontId="9" fillId="2" borderId="0" xfId="43" applyFont="1" applyBorder="1" applyAlignment="1">
      <alignment horizontal="center" vertical="center"/>
    </xf>
    <xf numFmtId="0" fontId="10" fillId="0" borderId="0" xfId="0" applyFont="1">
      <alignment vertical="center"/>
    </xf>
    <xf numFmtId="0" fontId="0" fillId="0" borderId="0" xfId="0" applyAlignment="1">
      <alignment horizontal="center" vertical="center"/>
    </xf>
    <xf numFmtId="0" fontId="11" fillId="0" borderId="0" xfId="0" applyFont="1" applyAlignment="1">
      <alignment horizontal="center" vertical="center"/>
    </xf>
    <xf numFmtId="0" fontId="2" fillId="2" borderId="4" xfId="43" applyFont="1" applyBorder="1" applyAlignment="1">
      <alignment horizontal="center" vertical="center"/>
    </xf>
    <xf numFmtId="0" fontId="12" fillId="0" borderId="0" xfId="0" applyFont="1" applyAlignment="1">
      <alignment horizontal="center" vertical="center"/>
    </xf>
    <xf numFmtId="43" fontId="12" fillId="0" borderId="0" xfId="0" applyNumberFormat="1" applyFont="1">
      <alignment vertical="center"/>
    </xf>
    <xf numFmtId="0" fontId="10" fillId="0" borderId="0" xfId="0" applyFont="1" applyAlignment="1">
      <alignment horizontal="center" vertical="center"/>
    </xf>
    <xf numFmtId="43" fontId="10" fillId="0" borderId="0" xfId="0" applyNumberFormat="1" applyFont="1">
      <alignment vertical="center"/>
    </xf>
    <xf numFmtId="0" fontId="0" fillId="0" borderId="0" xfId="0" applyFill="1">
      <alignment vertical="center"/>
    </xf>
    <xf numFmtId="0" fontId="0" fillId="4" borderId="0" xfId="0" applyFill="1">
      <alignment vertical="center"/>
    </xf>
    <xf numFmtId="43" fontId="0" fillId="0" borderId="0" xfId="8" applyFont="1">
      <alignment vertical="center"/>
    </xf>
    <xf numFmtId="43" fontId="0" fillId="0" borderId="0" xfId="8" applyFont="1" applyAlignment="1">
      <alignment horizontal="center" vertical="center"/>
    </xf>
    <xf numFmtId="0" fontId="13" fillId="5" borderId="0" xfId="45" applyFont="1" applyAlignment="1">
      <alignment horizontal="center" vertical="center"/>
    </xf>
    <xf numFmtId="0" fontId="3" fillId="0" borderId="0" xfId="10" applyAlignment="1">
      <alignment horizontal="center" vertical="center"/>
    </xf>
    <xf numFmtId="14" fontId="0" fillId="0" borderId="0" xfId="0" applyNumberFormat="1" applyAlignment="1">
      <alignment horizontal="center" vertical="center"/>
    </xf>
    <xf numFmtId="14" fontId="0" fillId="0" borderId="0" xfId="0" applyNumberFormat="1" applyFill="1" applyAlignment="1">
      <alignment horizontal="center" vertical="center"/>
    </xf>
    <xf numFmtId="43" fontId="0" fillId="0" borderId="0" xfId="8" applyFont="1" applyFill="1" applyAlignment="1">
      <alignment horizontal="center" vertical="center"/>
    </xf>
    <xf numFmtId="43" fontId="0" fillId="0" borderId="0" xfId="8" applyFont="1" applyFill="1">
      <alignment vertical="center"/>
    </xf>
    <xf numFmtId="0" fontId="0" fillId="4" borderId="0" xfId="0" applyFill="1" applyAlignment="1">
      <alignment horizontal="center" vertical="center"/>
    </xf>
    <xf numFmtId="0" fontId="3" fillId="4" borderId="0" xfId="10" applyFill="1" applyAlignment="1">
      <alignment horizontal="center" vertical="center"/>
    </xf>
    <xf numFmtId="14" fontId="0" fillId="4" borderId="0" xfId="0" applyNumberFormat="1" applyFill="1" applyAlignment="1">
      <alignment horizontal="center" vertical="center"/>
    </xf>
    <xf numFmtId="43" fontId="0" fillId="4" borderId="0" xfId="8" applyFont="1" applyFill="1">
      <alignment vertical="center"/>
    </xf>
    <xf numFmtId="43" fontId="0" fillId="4" borderId="0" xfId="8" applyFont="1" applyFill="1" applyAlignment="1">
      <alignment horizontal="center" vertical="center"/>
    </xf>
    <xf numFmtId="43" fontId="6" fillId="0" borderId="0" xfId="8" applyFont="1">
      <alignment vertical="center"/>
    </xf>
    <xf numFmtId="0" fontId="12" fillId="0" borderId="5" xfId="0" applyFont="1" applyBorder="1" applyAlignment="1">
      <alignment horizontal="center" vertical="center"/>
    </xf>
    <xf numFmtId="43" fontId="14" fillId="0" borderId="5" xfId="10" applyNumberFormat="1" applyFont="1" applyBorder="1" applyAlignment="1">
      <alignment horizontal="center" vertical="center"/>
    </xf>
    <xf numFmtId="14" fontId="0" fillId="0" borderId="0" xfId="8" applyNumberFormat="1" applyFont="1">
      <alignment vertical="center"/>
    </xf>
    <xf numFmtId="43" fontId="0" fillId="0" borderId="0" xfId="0" applyNumberFormat="1" applyAlignment="1">
      <alignment horizontal="center" vertical="center"/>
    </xf>
    <xf numFmtId="43" fontId="15" fillId="0" borderId="0" xfId="8" applyFont="1" applyAlignment="1">
      <alignment horizontal="center" vertical="center"/>
    </xf>
    <xf numFmtId="43" fontId="6" fillId="0" borderId="0" xfId="8" applyFont="1" applyFill="1" applyAlignment="1">
      <alignment horizontal="center" vertical="center"/>
    </xf>
    <xf numFmtId="43" fontId="6" fillId="0" borderId="0" xfId="8" applyFont="1" applyFill="1">
      <alignment vertical="center"/>
    </xf>
    <xf numFmtId="0" fontId="16" fillId="0" borderId="0" xfId="0" applyFont="1" applyFill="1" applyAlignment="1">
      <alignment horizontal="center" vertical="center"/>
    </xf>
    <xf numFmtId="0" fontId="7" fillId="0" borderId="0" xfId="0" applyFont="1" applyFill="1">
      <alignment vertical="center"/>
    </xf>
    <xf numFmtId="0" fontId="7" fillId="6" borderId="0" xfId="0" applyFont="1" applyFill="1">
      <alignment vertical="center"/>
    </xf>
    <xf numFmtId="0" fontId="17" fillId="4" borderId="0" xfId="0" applyFont="1" applyFill="1">
      <alignment vertical="center"/>
    </xf>
    <xf numFmtId="0" fontId="18" fillId="4" borderId="0" xfId="40" applyFont="1" applyFill="1">
      <alignment vertical="center"/>
    </xf>
    <xf numFmtId="0" fontId="19" fillId="0" borderId="0" xfId="40" applyFont="1" applyFill="1">
      <alignment vertical="center"/>
    </xf>
    <xf numFmtId="0" fontId="19" fillId="4" borderId="0" xfId="40" applyFont="1" applyFill="1">
      <alignment vertical="center"/>
    </xf>
    <xf numFmtId="0" fontId="17" fillId="0" borderId="0" xfId="0" applyFont="1" applyFill="1">
      <alignment vertical="center"/>
    </xf>
    <xf numFmtId="0" fontId="17" fillId="0" borderId="0" xfId="0" applyNumberFormat="1" applyFont="1" applyFill="1">
      <alignment vertical="center"/>
    </xf>
    <xf numFmtId="43" fontId="17" fillId="0" borderId="6" xfId="8" applyFont="1" applyFill="1" applyBorder="1" applyAlignment="1">
      <alignment horizontal="center" vertical="center" wrapText="1"/>
    </xf>
    <xf numFmtId="9" fontId="17" fillId="0" borderId="0" xfId="11" applyFont="1" applyFill="1">
      <alignment vertical="center"/>
    </xf>
    <xf numFmtId="0" fontId="17" fillId="0" borderId="6" xfId="0" applyFont="1" applyFill="1" applyBorder="1" applyAlignment="1">
      <alignment horizontal="center" vertical="center" wrapText="1"/>
    </xf>
    <xf numFmtId="0" fontId="17" fillId="0" borderId="0" xfId="0" applyFont="1" applyFill="1" applyAlignment="1">
      <alignment horizontal="center" vertical="center"/>
    </xf>
    <xf numFmtId="0" fontId="16" fillId="0" borderId="6" xfId="0" applyFont="1" applyFill="1" applyBorder="1" applyAlignment="1">
      <alignment horizontal="center" vertical="center"/>
    </xf>
    <xf numFmtId="0" fontId="16" fillId="0" borderId="6" xfId="0" applyNumberFormat="1" applyFont="1" applyFill="1" applyBorder="1" applyAlignment="1">
      <alignment horizontal="center" vertical="center"/>
    </xf>
    <xf numFmtId="0" fontId="20" fillId="0" borderId="6" xfId="0" applyFont="1" applyFill="1" applyBorder="1" applyAlignment="1">
      <alignment horizontal="center" vertical="center" wrapText="1"/>
    </xf>
    <xf numFmtId="14" fontId="17" fillId="0" borderId="6" xfId="0" applyNumberFormat="1" applyFont="1" applyFill="1" applyBorder="1" applyAlignment="1">
      <alignment horizontal="center" vertical="center" wrapText="1"/>
    </xf>
    <xf numFmtId="0" fontId="17" fillId="0" borderId="6" xfId="0" applyNumberFormat="1" applyFont="1" applyFill="1" applyBorder="1" applyAlignment="1">
      <alignment horizontal="center" vertical="center" wrapText="1"/>
    </xf>
    <xf numFmtId="0" fontId="21" fillId="0" borderId="7" xfId="0" applyFont="1" applyFill="1" applyBorder="1" applyAlignment="1">
      <alignment horizontal="center" vertical="center" wrapText="1"/>
    </xf>
    <xf numFmtId="0" fontId="7" fillId="0" borderId="8" xfId="0" applyFont="1" applyFill="1" applyBorder="1" applyAlignment="1">
      <alignment horizontal="center" vertical="center" wrapText="1"/>
    </xf>
    <xf numFmtId="14" fontId="7" fillId="0" borderId="6" xfId="0" applyNumberFormat="1" applyFont="1" applyFill="1" applyBorder="1" applyAlignment="1">
      <alignment horizontal="center" vertical="center" wrapText="1"/>
    </xf>
    <xf numFmtId="0" fontId="7" fillId="0" borderId="6" xfId="0" applyNumberFormat="1" applyFont="1" applyFill="1" applyBorder="1" applyAlignment="1">
      <alignment horizontal="center" vertical="center" wrapText="1"/>
    </xf>
    <xf numFmtId="43" fontId="7" fillId="0" borderId="6" xfId="8" applyFont="1" applyFill="1" applyBorder="1" applyAlignment="1">
      <alignment horizontal="center" vertical="center" wrapText="1"/>
    </xf>
    <xf numFmtId="0" fontId="22" fillId="6" borderId="7" xfId="0" applyFont="1" applyFill="1" applyBorder="1" applyAlignment="1">
      <alignment horizontal="center" vertical="center" wrapText="1"/>
    </xf>
    <xf numFmtId="0" fontId="22" fillId="6" borderId="8" xfId="0" applyFont="1" applyFill="1" applyBorder="1" applyAlignment="1">
      <alignment horizontal="center" vertical="center" wrapText="1"/>
    </xf>
    <xf numFmtId="14" fontId="7" fillId="6" borderId="6" xfId="0" applyNumberFormat="1" applyFont="1" applyFill="1" applyBorder="1" applyAlignment="1">
      <alignment horizontal="center" vertical="center" wrapText="1"/>
    </xf>
    <xf numFmtId="0" fontId="7" fillId="6" borderId="6" xfId="0" applyNumberFormat="1" applyFont="1" applyFill="1" applyBorder="1" applyAlignment="1">
      <alignment horizontal="center" vertical="center" wrapText="1"/>
    </xf>
    <xf numFmtId="43" fontId="7" fillId="6" borderId="6" xfId="8" applyFont="1" applyFill="1" applyBorder="1" applyAlignment="1">
      <alignment horizontal="center" vertical="center" wrapText="1"/>
    </xf>
    <xf numFmtId="0" fontId="23" fillId="0" borderId="6" xfId="0" applyFont="1" applyFill="1" applyBorder="1" applyAlignment="1">
      <alignment horizontal="center" vertical="center" wrapText="1"/>
    </xf>
    <xf numFmtId="0" fontId="23" fillId="4" borderId="6" xfId="0" applyFont="1" applyFill="1" applyBorder="1" applyAlignment="1">
      <alignment horizontal="center" vertical="center" wrapText="1"/>
    </xf>
    <xf numFmtId="0" fontId="17" fillId="4" borderId="9" xfId="0" applyFont="1" applyFill="1" applyBorder="1" applyAlignment="1">
      <alignment horizontal="center" vertical="center" wrapText="1"/>
    </xf>
    <xf numFmtId="14" fontId="17" fillId="4" borderId="6" xfId="0" applyNumberFormat="1" applyFont="1" applyFill="1" applyBorder="1" applyAlignment="1">
      <alignment horizontal="center" vertical="center" wrapText="1"/>
    </xf>
    <xf numFmtId="0" fontId="17" fillId="4" borderId="9" xfId="0" applyNumberFormat="1" applyFont="1" applyFill="1" applyBorder="1" applyAlignment="1">
      <alignment horizontal="center" vertical="center" wrapText="1"/>
    </xf>
    <xf numFmtId="43" fontId="17" fillId="4" borderId="6" xfId="8" applyFont="1" applyFill="1" applyBorder="1" applyAlignment="1">
      <alignment horizontal="center" vertical="center" wrapText="1"/>
    </xf>
    <xf numFmtId="0" fontId="17" fillId="4" borderId="6" xfId="0" applyFont="1" applyFill="1" applyBorder="1" applyAlignment="1">
      <alignment horizontal="center" vertical="center" wrapText="1"/>
    </xf>
    <xf numFmtId="0" fontId="17" fillId="4" borderId="6" xfId="0" applyNumberFormat="1" applyFont="1" applyFill="1" applyBorder="1" applyAlignment="1">
      <alignment horizontal="center" vertical="center" wrapText="1"/>
    </xf>
    <xf numFmtId="9" fontId="16" fillId="0" borderId="6" xfId="11" applyFont="1" applyFill="1" applyBorder="1" applyAlignment="1">
      <alignment horizontal="center" vertical="center"/>
    </xf>
    <xf numFmtId="9" fontId="24" fillId="0" borderId="6" xfId="11" applyFont="1" applyFill="1" applyBorder="1" applyAlignment="1">
      <alignment horizontal="center" vertical="center"/>
    </xf>
    <xf numFmtId="9" fontId="17" fillId="0" borderId="6" xfId="11" applyFont="1" applyFill="1" applyBorder="1" applyAlignment="1">
      <alignment horizontal="center" vertical="center" wrapText="1"/>
    </xf>
    <xf numFmtId="9" fontId="3" fillId="0" borderId="6" xfId="10" applyNumberFormat="1" applyFill="1" applyBorder="1" applyAlignment="1">
      <alignment horizontal="center" vertical="center" wrapText="1"/>
    </xf>
    <xf numFmtId="9" fontId="17" fillId="0" borderId="0" xfId="11" applyFont="1" applyFill="1" applyAlignment="1">
      <alignment horizontal="center" vertical="center"/>
    </xf>
    <xf numFmtId="9" fontId="7" fillId="0" borderId="6" xfId="11" applyFont="1" applyFill="1" applyBorder="1" applyAlignment="1">
      <alignment horizontal="center" vertical="center" wrapText="1"/>
    </xf>
    <xf numFmtId="0" fontId="7" fillId="0" borderId="6" xfId="0" applyFont="1" applyFill="1" applyBorder="1" applyAlignment="1">
      <alignment horizontal="center" vertical="center" wrapText="1"/>
    </xf>
    <xf numFmtId="9" fontId="7" fillId="6" borderId="6" xfId="11" applyFont="1" applyFill="1" applyBorder="1" applyAlignment="1">
      <alignment horizontal="center" vertical="center" wrapText="1"/>
    </xf>
    <xf numFmtId="0" fontId="7" fillId="6" borderId="6" xfId="0" applyFont="1" applyFill="1" applyBorder="1" applyAlignment="1">
      <alignment horizontal="center" vertical="center" wrapText="1"/>
    </xf>
    <xf numFmtId="9" fontId="25" fillId="0" borderId="6" xfId="10" applyNumberFormat="1" applyFont="1" applyFill="1" applyBorder="1" applyAlignment="1">
      <alignment horizontal="center" vertical="center" wrapText="1"/>
    </xf>
    <xf numFmtId="9" fontId="26" fillId="0" borderId="6" xfId="11" applyFont="1" applyFill="1" applyBorder="1" applyAlignment="1">
      <alignment horizontal="center" vertical="center" wrapText="1"/>
    </xf>
    <xf numFmtId="9" fontId="27" fillId="0" borderId="6" xfId="10" applyNumberFormat="1" applyFont="1" applyFill="1" applyBorder="1" applyAlignment="1">
      <alignment horizontal="center" vertical="center" wrapText="1"/>
    </xf>
    <xf numFmtId="9" fontId="28" fillId="0" borderId="6" xfId="10" applyNumberFormat="1" applyFont="1" applyFill="1" applyBorder="1" applyAlignment="1">
      <alignment horizontal="center" vertical="center" wrapText="1"/>
    </xf>
    <xf numFmtId="176" fontId="17" fillId="4" borderId="6" xfId="11" applyNumberFormat="1" applyFont="1" applyFill="1" applyBorder="1" applyAlignment="1">
      <alignment horizontal="center" vertical="center" wrapText="1"/>
    </xf>
    <xf numFmtId="9" fontId="17" fillId="4" borderId="6" xfId="11" applyFont="1" applyFill="1" applyBorder="1" applyAlignment="1">
      <alignment horizontal="center" vertical="center" wrapText="1"/>
    </xf>
    <xf numFmtId="9" fontId="3" fillId="4" borderId="0" xfId="10" applyNumberFormat="1" applyFill="1" applyAlignment="1">
      <alignment horizontal="center" vertical="center"/>
    </xf>
    <xf numFmtId="176" fontId="7" fillId="0" borderId="6" xfId="11" applyNumberFormat="1" applyFont="1" applyFill="1" applyBorder="1" applyAlignment="1">
      <alignment horizontal="center" vertical="center" wrapText="1"/>
    </xf>
    <xf numFmtId="9" fontId="27" fillId="4" borderId="6" xfId="10" applyNumberFormat="1" applyFont="1" applyFill="1" applyBorder="1" applyAlignment="1">
      <alignment horizontal="center" vertical="center" wrapText="1"/>
    </xf>
    <xf numFmtId="9" fontId="24" fillId="0" borderId="6" xfId="11" applyFont="1" applyFill="1" applyBorder="1" applyAlignment="1">
      <alignment horizontal="center" vertical="center" wrapText="1"/>
    </xf>
    <xf numFmtId="0" fontId="17" fillId="0" borderId="0" xfId="0" applyFont="1" applyFill="1" applyAlignment="1">
      <alignment horizontal="center" vertical="center" wrapText="1"/>
    </xf>
    <xf numFmtId="0" fontId="7" fillId="0" borderId="6" xfId="0" applyFont="1" applyFill="1" applyBorder="1" applyAlignment="1">
      <alignment horizontal="center" vertical="top" wrapText="1"/>
    </xf>
    <xf numFmtId="0" fontId="7" fillId="6" borderId="6" xfId="0" applyFont="1" applyFill="1" applyBorder="1" applyAlignment="1">
      <alignment horizontal="center" vertical="top" wrapText="1"/>
    </xf>
    <xf numFmtId="0" fontId="17" fillId="4" borderId="0" xfId="0" applyFont="1" applyFill="1" applyAlignment="1">
      <alignment horizontal="center" vertical="center"/>
    </xf>
    <xf numFmtId="9" fontId="16" fillId="0" borderId="6" xfId="11" applyFont="1" applyFill="1" applyBorder="1" applyAlignment="1">
      <alignment horizontal="center" vertical="center" wrapText="1"/>
    </xf>
    <xf numFmtId="3" fontId="17" fillId="0" borderId="6" xfId="0" applyNumberFormat="1" applyFont="1" applyFill="1" applyBorder="1" applyAlignment="1">
      <alignment horizontal="center" vertical="center" wrapText="1"/>
    </xf>
    <xf numFmtId="3" fontId="7" fillId="0" borderId="6" xfId="0" applyNumberFormat="1" applyFont="1" applyFill="1" applyBorder="1" applyAlignment="1">
      <alignment horizontal="center" vertical="center" wrapText="1"/>
    </xf>
    <xf numFmtId="3" fontId="7" fillId="6" borderId="6" xfId="0" applyNumberFormat="1" applyFont="1" applyFill="1" applyBorder="1" applyAlignment="1">
      <alignment horizontal="center" vertical="center" wrapText="1"/>
    </xf>
    <xf numFmtId="3" fontId="17" fillId="4" borderId="6" xfId="0" applyNumberFormat="1" applyFont="1" applyFill="1" applyBorder="1" applyAlignment="1">
      <alignment horizontal="center" vertical="center" wrapText="1"/>
    </xf>
    <xf numFmtId="0" fontId="7" fillId="0" borderId="0" xfId="0" applyFont="1" applyFill="1" applyAlignment="1">
      <alignment vertical="center" wrapText="1"/>
    </xf>
    <xf numFmtId="0" fontId="17" fillId="0" borderId="0" xfId="0" applyFont="1" applyFill="1" applyAlignment="1">
      <alignment vertical="center" wrapText="1"/>
    </xf>
    <xf numFmtId="0" fontId="17" fillId="4" borderId="0" xfId="0" applyFont="1" applyFill="1" applyAlignment="1">
      <alignment vertical="center" wrapText="1"/>
    </xf>
    <xf numFmtId="14" fontId="7" fillId="4" borderId="6" xfId="0" applyNumberFormat="1" applyFont="1" applyFill="1" applyBorder="1" applyAlignment="1">
      <alignment horizontal="center" vertical="center" wrapText="1"/>
    </xf>
    <xf numFmtId="0" fontId="7" fillId="4" borderId="6" xfId="0" applyNumberFormat="1" applyFont="1" applyFill="1" applyBorder="1" applyAlignment="1">
      <alignment horizontal="center" vertical="center" wrapText="1"/>
    </xf>
    <xf numFmtId="43" fontId="7" fillId="4" borderId="6" xfId="8" applyFont="1" applyFill="1" applyBorder="1" applyAlignment="1">
      <alignment horizontal="center" vertical="center" wrapText="1"/>
    </xf>
    <xf numFmtId="14" fontId="17" fillId="0" borderId="0" xfId="0" applyNumberFormat="1" applyFont="1" applyFill="1">
      <alignment vertical="center"/>
    </xf>
    <xf numFmtId="9" fontId="7" fillId="4" borderId="6" xfId="11" applyFont="1" applyFill="1" applyBorder="1" applyAlignment="1">
      <alignment horizontal="center" vertical="center" wrapText="1"/>
    </xf>
    <xf numFmtId="9" fontId="25" fillId="4" borderId="6" xfId="10" applyNumberFormat="1" applyFont="1" applyFill="1" applyBorder="1" applyAlignment="1">
      <alignment horizontal="center" vertical="center" wrapText="1"/>
    </xf>
    <xf numFmtId="9" fontId="3" fillId="4" borderId="6" xfId="10" applyNumberFormat="1" applyFill="1" applyBorder="1" applyAlignment="1">
      <alignment horizontal="center" vertical="center" wrapText="1"/>
    </xf>
    <xf numFmtId="176" fontId="17" fillId="0" borderId="6" xfId="11" applyNumberFormat="1" applyFont="1" applyFill="1" applyBorder="1" applyAlignment="1">
      <alignment horizontal="center" vertical="center" wrapText="1"/>
    </xf>
    <xf numFmtId="0" fontId="17" fillId="0" borderId="0" xfId="0" applyFont="1" applyAlignment="1">
      <alignment horizontal="center" vertical="center" wrapText="1"/>
    </xf>
    <xf numFmtId="0" fontId="29" fillId="0" borderId="0" xfId="40" applyFont="1" applyFill="1" applyAlignment="1">
      <alignment vertical="center"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ont>
        <color rgb="FF9C6500"/>
      </font>
      <fill>
        <patternFill patternType="solid">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4" Type="http://schemas.microsoft.com/office/2006/relationships/vbaProject" Target="vbaProject.bin"/><Relationship Id="rId83" Type="http://schemas.openxmlformats.org/officeDocument/2006/relationships/sharedStrings" Target="sharedStrings.xml"/><Relationship Id="rId82" Type="http://schemas.openxmlformats.org/officeDocument/2006/relationships/styles" Target="styles.xml"/><Relationship Id="rId81" Type="http://schemas.openxmlformats.org/officeDocument/2006/relationships/theme" Target="theme/theme1.xml"/><Relationship Id="rId80" Type="http://schemas.openxmlformats.org/officeDocument/2006/relationships/worksheet" Target="worksheets/sheet80.xml"/><Relationship Id="rId8" Type="http://schemas.openxmlformats.org/officeDocument/2006/relationships/worksheet" Target="worksheets/sheet8.xml"/><Relationship Id="rId79" Type="http://schemas.openxmlformats.org/officeDocument/2006/relationships/worksheet" Target="worksheets/sheet79.xml"/><Relationship Id="rId78" Type="http://schemas.openxmlformats.org/officeDocument/2006/relationships/worksheet" Target="worksheets/sheet78.xml"/><Relationship Id="rId77" Type="http://schemas.openxmlformats.org/officeDocument/2006/relationships/worksheet" Target="worksheets/sheet77.xml"/><Relationship Id="rId76" Type="http://schemas.openxmlformats.org/officeDocument/2006/relationships/worksheet" Target="worksheets/sheet76.xml"/><Relationship Id="rId75" Type="http://schemas.openxmlformats.org/officeDocument/2006/relationships/worksheet" Target="worksheets/sheet75.xml"/><Relationship Id="rId74" Type="http://schemas.openxmlformats.org/officeDocument/2006/relationships/worksheet" Target="worksheets/sheet74.xml"/><Relationship Id="rId73" Type="http://schemas.openxmlformats.org/officeDocument/2006/relationships/worksheet" Target="worksheets/sheet73.xml"/><Relationship Id="rId72" Type="http://schemas.openxmlformats.org/officeDocument/2006/relationships/worksheet" Target="worksheets/sheet72.xml"/><Relationship Id="rId71" Type="http://schemas.openxmlformats.org/officeDocument/2006/relationships/worksheet" Target="worksheets/sheet71.xml"/><Relationship Id="rId70" Type="http://schemas.openxmlformats.org/officeDocument/2006/relationships/worksheet" Target="worksheets/sheet70.xml"/><Relationship Id="rId7" Type="http://schemas.openxmlformats.org/officeDocument/2006/relationships/worksheet" Target="worksheets/sheet7.xml"/><Relationship Id="rId69" Type="http://schemas.openxmlformats.org/officeDocument/2006/relationships/worksheet" Target="worksheets/sheet69.xml"/><Relationship Id="rId68" Type="http://schemas.openxmlformats.org/officeDocument/2006/relationships/worksheet" Target="worksheets/sheet68.xml"/><Relationship Id="rId67" Type="http://schemas.openxmlformats.org/officeDocument/2006/relationships/worksheet" Target="worksheets/sheet67.xml"/><Relationship Id="rId66" Type="http://schemas.openxmlformats.org/officeDocument/2006/relationships/worksheet" Target="worksheets/sheet66.xml"/><Relationship Id="rId65" Type="http://schemas.openxmlformats.org/officeDocument/2006/relationships/worksheet" Target="worksheets/sheet65.xml"/><Relationship Id="rId64" Type="http://schemas.openxmlformats.org/officeDocument/2006/relationships/worksheet" Target="worksheets/sheet64.xml"/><Relationship Id="rId63" Type="http://schemas.openxmlformats.org/officeDocument/2006/relationships/worksheet" Target="worksheets/sheet63.xml"/><Relationship Id="rId62" Type="http://schemas.openxmlformats.org/officeDocument/2006/relationships/worksheet" Target="worksheets/sheet62.xml"/><Relationship Id="rId61" Type="http://schemas.openxmlformats.org/officeDocument/2006/relationships/worksheet" Target="worksheets/sheet61.xml"/><Relationship Id="rId60" Type="http://schemas.openxmlformats.org/officeDocument/2006/relationships/worksheet" Target="worksheets/sheet60.xml"/><Relationship Id="rId6" Type="http://schemas.openxmlformats.org/officeDocument/2006/relationships/worksheet" Target="worksheets/sheet6.xml"/><Relationship Id="rId59" Type="http://schemas.openxmlformats.org/officeDocument/2006/relationships/worksheet" Target="worksheets/sheet59.xml"/><Relationship Id="rId58" Type="http://schemas.openxmlformats.org/officeDocument/2006/relationships/worksheet" Target="worksheets/sheet58.xml"/><Relationship Id="rId57" Type="http://schemas.openxmlformats.org/officeDocument/2006/relationships/worksheet" Target="worksheets/sheet57.xml"/><Relationship Id="rId56" Type="http://schemas.openxmlformats.org/officeDocument/2006/relationships/worksheet" Target="worksheets/sheet56.xml"/><Relationship Id="rId55" Type="http://schemas.openxmlformats.org/officeDocument/2006/relationships/worksheet" Target="worksheets/sheet55.xml"/><Relationship Id="rId54" Type="http://schemas.openxmlformats.org/officeDocument/2006/relationships/worksheet" Target="worksheets/sheet54.xml"/><Relationship Id="rId53" Type="http://schemas.openxmlformats.org/officeDocument/2006/relationships/worksheet" Target="worksheets/sheet53.xml"/><Relationship Id="rId52" Type="http://schemas.openxmlformats.org/officeDocument/2006/relationships/worksheet" Target="worksheets/sheet52.xml"/><Relationship Id="rId51" Type="http://schemas.openxmlformats.org/officeDocument/2006/relationships/worksheet" Target="worksheets/sheet51.xml"/><Relationship Id="rId50" Type="http://schemas.openxmlformats.org/officeDocument/2006/relationships/worksheet" Target="worksheets/sheet50.xml"/><Relationship Id="rId5" Type="http://schemas.openxmlformats.org/officeDocument/2006/relationships/worksheet" Target="worksheets/sheet5.xml"/><Relationship Id="rId49" Type="http://schemas.openxmlformats.org/officeDocument/2006/relationships/worksheet" Target="worksheets/sheet49.xml"/><Relationship Id="rId48" Type="http://schemas.openxmlformats.org/officeDocument/2006/relationships/worksheet" Target="worksheets/sheet48.xml"/><Relationship Id="rId47" Type="http://schemas.openxmlformats.org/officeDocument/2006/relationships/worksheet" Target="worksheets/sheet47.xml"/><Relationship Id="rId46" Type="http://schemas.openxmlformats.org/officeDocument/2006/relationships/worksheet" Target="worksheets/sheet46.xml"/><Relationship Id="rId45" Type="http://schemas.openxmlformats.org/officeDocument/2006/relationships/worksheet" Target="worksheets/sheet45.xml"/><Relationship Id="rId44" Type="http://schemas.openxmlformats.org/officeDocument/2006/relationships/worksheet" Target="worksheets/sheet44.xml"/><Relationship Id="rId43" Type="http://schemas.openxmlformats.org/officeDocument/2006/relationships/worksheet" Target="worksheets/sheet43.xml"/><Relationship Id="rId42" Type="http://schemas.openxmlformats.org/officeDocument/2006/relationships/worksheet" Target="worksheets/sheet42.xml"/><Relationship Id="rId41" Type="http://schemas.openxmlformats.org/officeDocument/2006/relationships/worksheet" Target="worksheets/sheet41.xml"/><Relationship Id="rId40" Type="http://schemas.openxmlformats.org/officeDocument/2006/relationships/worksheet" Target="worksheets/sheet40.xml"/><Relationship Id="rId4" Type="http://schemas.openxmlformats.org/officeDocument/2006/relationships/worksheet" Target="worksheets/sheet4.xml"/><Relationship Id="rId39" Type="http://schemas.openxmlformats.org/officeDocument/2006/relationships/worksheet" Target="worksheets/sheet39.xml"/><Relationship Id="rId38" Type="http://schemas.openxmlformats.org/officeDocument/2006/relationships/worksheet" Target="worksheets/sheet38.xml"/><Relationship Id="rId37" Type="http://schemas.openxmlformats.org/officeDocument/2006/relationships/worksheet" Target="worksheets/sheet37.xml"/><Relationship Id="rId36" Type="http://schemas.openxmlformats.org/officeDocument/2006/relationships/worksheet" Target="worksheets/sheet36.xml"/><Relationship Id="rId35" Type="http://schemas.openxmlformats.org/officeDocument/2006/relationships/worksheet" Target="worksheets/sheet35.xml"/><Relationship Id="rId34" Type="http://schemas.openxmlformats.org/officeDocument/2006/relationships/worksheet" Target="worksheets/sheet34.xml"/><Relationship Id="rId33" Type="http://schemas.openxmlformats.org/officeDocument/2006/relationships/worksheet" Target="worksheets/sheet33.xml"/><Relationship Id="rId32" Type="http://schemas.openxmlformats.org/officeDocument/2006/relationships/worksheet" Target="worksheets/sheet32.xml"/><Relationship Id="rId31" Type="http://schemas.openxmlformats.org/officeDocument/2006/relationships/worksheet" Target="worksheets/sheet3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3</xdr:col>
          <xdr:colOff>66675</xdr:colOff>
          <xdr:row>18</xdr:row>
          <xdr:rowOff>38100</xdr:rowOff>
        </xdr:from>
        <xdr:to>
          <xdr:col>4</xdr:col>
          <xdr:colOff>409575</xdr:colOff>
          <xdr:row>21</xdr:row>
          <xdr:rowOff>9525</xdr:rowOff>
        </xdr:to>
        <xdr:sp macro="[0]!sum_Click">
          <xdr:nvSpPr>
            <xdr:cNvPr id="2049" name="Button 1" hidden="1">
              <a:extLst>
                <a:ext uri="{63B3BB69-23CF-44E3-9099-C40C66FF867C}">
                  <a14:compatExt spid="_x0000_s2049"/>
                </a:ext>
              </a:extLst>
            </xdr:cNvPr>
            <xdr:cNvSpPr/>
          </xdr:nvSpPr>
          <xdr:spPr>
            <a:xfrm>
              <a:off x="4295775" y="3238500"/>
              <a:ext cx="1828800" cy="48577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获取数据</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tables/table1.xml><?xml version="1.0" encoding="utf-8"?>
<table xmlns="http://schemas.openxmlformats.org/spreadsheetml/2006/main" id="2" name="表2" displayName="表2" ref="A2:P38" totalsRowShown="0">
  <autoFilter ref="A2:P38"/>
  <tableColumns count="16">
    <tableColumn id="1" name="序号"/>
    <tableColumn id="2" name="项目名称"/>
    <tableColumn id="3" name="放款时间"/>
    <tableColumn id="4" name="到期时间"/>
    <tableColumn id="5" name="放款金额"/>
    <tableColumn id="6" name="实收本金"/>
    <tableColumn id="7" name="应收利息"/>
    <tableColumn id="8" name="实收利息"/>
    <tableColumn id="9" name="应收手续费"/>
    <tableColumn id="10" name="实收手续费"/>
    <tableColumn id="11" name="应收咨询费"/>
    <tableColumn id="12" name="实收咨询费"/>
    <tableColumn id="13" name="应收保证金"/>
    <tableColumn id="14" name="实收保证金"/>
    <tableColumn id="15" name="其他费用"/>
    <tableColumn id="16" name="待收金额"/>
  </tableColumns>
  <tableStyleInfo name="TableStyleLight13"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AH94"/>
  <sheetViews>
    <sheetView zoomScale="91" zoomScaleNormal="91" workbookViewId="0">
      <pane xSplit="2" ySplit="1" topLeftCell="S2" activePane="bottomRight" state="frozenSplit"/>
      <selection/>
      <selection pane="topRight"/>
      <selection pane="bottomLeft"/>
      <selection pane="bottomRight" activeCell="S2" sqref="S2:AF2"/>
    </sheetView>
  </sheetViews>
  <sheetFormatPr defaultColWidth="9" defaultRowHeight="13.5"/>
  <cols>
    <col min="1" max="1" width="7.125" style="75" customWidth="1"/>
    <col min="2" max="2" width="16.75" style="75" customWidth="1"/>
    <col min="3" max="4" width="13.875" style="75" customWidth="1"/>
    <col min="5" max="5" width="10.875" style="76" customWidth="1"/>
    <col min="6" max="6" width="14.625" style="77" customWidth="1"/>
    <col min="7" max="7" width="13.25" style="77" customWidth="1"/>
    <col min="8" max="8" width="11.875" style="77" customWidth="1"/>
    <col min="9" max="13" width="9.25" style="78" customWidth="1"/>
    <col min="14" max="14" width="9" style="78"/>
    <col min="15" max="15" width="19.25" style="79" customWidth="1"/>
    <col min="16" max="16" width="9.75" style="79" customWidth="1"/>
    <col min="17" max="17" width="16.75" style="75" customWidth="1"/>
    <col min="18" max="21" width="9" style="75"/>
    <col min="22" max="22" width="44.125" style="80" customWidth="1"/>
    <col min="23" max="23" width="9" style="75"/>
    <col min="24" max="24" width="12.5" style="75" customWidth="1"/>
    <col min="25" max="25" width="9.25" style="75" customWidth="1"/>
    <col min="26" max="26" width="9" style="75"/>
    <col min="27" max="27" width="8.75" style="75" customWidth="1"/>
    <col min="28" max="28" width="11.75" style="75" customWidth="1"/>
    <col min="29" max="31" width="9" style="75"/>
    <col min="32" max="32" width="16.75" style="75" customWidth="1"/>
    <col min="33" max="33" width="40.25" style="75" customWidth="1"/>
    <col min="34" max="16384" width="9" style="75"/>
  </cols>
  <sheetData>
    <row r="1" s="68" customFormat="1" ht="31.5" customHeight="1" spans="1:33">
      <c r="A1" s="81" t="s">
        <v>0</v>
      </c>
      <c r="B1" s="81" t="s">
        <v>1</v>
      </c>
      <c r="C1" s="81" t="s">
        <v>2</v>
      </c>
      <c r="D1" s="81" t="s">
        <v>3</v>
      </c>
      <c r="E1" s="82" t="s">
        <v>4</v>
      </c>
      <c r="F1" s="77" t="s">
        <v>5</v>
      </c>
      <c r="G1" s="77" t="s">
        <v>6</v>
      </c>
      <c r="H1" s="77" t="s">
        <v>7</v>
      </c>
      <c r="I1" s="104" t="s">
        <v>8</v>
      </c>
      <c r="J1" s="104" t="s">
        <v>9</v>
      </c>
      <c r="K1" s="104" t="s">
        <v>10</v>
      </c>
      <c r="L1" s="104" t="s">
        <v>11</v>
      </c>
      <c r="M1" s="105" t="s">
        <v>12</v>
      </c>
      <c r="N1" s="104" t="s">
        <v>13</v>
      </c>
      <c r="O1" s="104" t="s">
        <v>14</v>
      </c>
      <c r="P1" s="104" t="s">
        <v>15</v>
      </c>
      <c r="Q1" s="105" t="s">
        <v>16</v>
      </c>
      <c r="R1" s="104" t="s">
        <v>17</v>
      </c>
      <c r="S1" s="104" t="s">
        <v>18</v>
      </c>
      <c r="T1" s="104" t="s">
        <v>19</v>
      </c>
      <c r="U1" s="105" t="s">
        <v>20</v>
      </c>
      <c r="V1" s="105" t="s">
        <v>21</v>
      </c>
      <c r="W1" s="122" t="s">
        <v>22</v>
      </c>
      <c r="X1" s="122" t="s">
        <v>23</v>
      </c>
      <c r="Y1" s="122" t="s">
        <v>24</v>
      </c>
      <c r="Z1" s="104" t="s">
        <v>25</v>
      </c>
      <c r="AA1" s="127" t="s">
        <v>26</v>
      </c>
      <c r="AB1" s="127" t="s">
        <v>27</v>
      </c>
      <c r="AC1" s="104" t="s">
        <v>28</v>
      </c>
      <c r="AD1" s="104" t="s">
        <v>29</v>
      </c>
      <c r="AE1" s="122" t="s">
        <v>30</v>
      </c>
      <c r="AF1" s="104" t="s">
        <v>31</v>
      </c>
      <c r="AG1" s="68" t="s">
        <v>32</v>
      </c>
    </row>
    <row r="2" ht="37.5" spans="1:32">
      <c r="A2" s="83">
        <v>1</v>
      </c>
      <c r="B2" s="79" t="s">
        <v>33</v>
      </c>
      <c r="C2" s="84">
        <v>42374</v>
      </c>
      <c r="D2" s="84">
        <v>42739</v>
      </c>
      <c r="E2" s="85">
        <v>12</v>
      </c>
      <c r="F2" s="77">
        <v>3000</v>
      </c>
      <c r="G2" s="77">
        <v>3000</v>
      </c>
      <c r="H2" s="77">
        <v>0</v>
      </c>
      <c r="I2" s="106">
        <v>0.09</v>
      </c>
      <c r="J2" s="106">
        <v>0.03</v>
      </c>
      <c r="K2" s="106">
        <v>0.04</v>
      </c>
      <c r="L2" s="106">
        <v>0.1</v>
      </c>
      <c r="M2" s="106">
        <v>0.16</v>
      </c>
      <c r="N2" s="107" t="s">
        <v>34</v>
      </c>
      <c r="O2" s="79" t="s">
        <v>35</v>
      </c>
      <c r="P2" s="79" t="s">
        <v>36</v>
      </c>
      <c r="Q2" s="79" t="s">
        <v>37</v>
      </c>
      <c r="R2" s="79" t="s">
        <v>38</v>
      </c>
      <c r="S2" s="79" t="s">
        <v>39</v>
      </c>
      <c r="T2" s="79" t="s">
        <v>40</v>
      </c>
      <c r="U2" s="79" t="s">
        <v>41</v>
      </c>
      <c r="V2" s="79" t="s">
        <v>42</v>
      </c>
      <c r="W2" s="79" t="s">
        <v>43</v>
      </c>
      <c r="X2" s="79" t="s">
        <v>44</v>
      </c>
      <c r="Y2" s="79">
        <v>2286</v>
      </c>
      <c r="Z2" s="79" t="s">
        <v>45</v>
      </c>
      <c r="AA2" s="79"/>
      <c r="AB2" s="79" t="s">
        <v>46</v>
      </c>
      <c r="AC2" s="79" t="s">
        <v>47</v>
      </c>
      <c r="AD2" s="79" t="s">
        <v>48</v>
      </c>
      <c r="AE2" s="79" t="s">
        <v>49</v>
      </c>
      <c r="AF2" s="128" t="s">
        <v>50</v>
      </c>
    </row>
    <row r="3" ht="15" spans="1:32">
      <c r="A3" s="83">
        <v>2</v>
      </c>
      <c r="B3" s="79" t="s">
        <v>51</v>
      </c>
      <c r="C3" s="84">
        <v>42375</v>
      </c>
      <c r="D3" s="84">
        <v>42407</v>
      </c>
      <c r="E3" s="85">
        <f>D3-C3</f>
        <v>32</v>
      </c>
      <c r="F3" s="77">
        <v>5000</v>
      </c>
      <c r="G3" s="77">
        <v>5000</v>
      </c>
      <c r="H3" s="77">
        <v>0</v>
      </c>
      <c r="I3" s="106">
        <f>0.1%*365</f>
        <v>0.365</v>
      </c>
      <c r="J3" s="106">
        <v>0</v>
      </c>
      <c r="K3" s="106">
        <v>0</v>
      </c>
      <c r="L3" s="106">
        <v>0</v>
      </c>
      <c r="M3" s="106">
        <f>I3+J3+K3</f>
        <v>0.365</v>
      </c>
      <c r="N3" s="106" t="s">
        <v>34</v>
      </c>
      <c r="O3" s="79" t="s">
        <v>52</v>
      </c>
      <c r="P3" s="79" t="s">
        <v>52</v>
      </c>
      <c r="Q3" s="79" t="s">
        <v>52</v>
      </c>
      <c r="R3" s="79" t="s">
        <v>53</v>
      </c>
      <c r="S3" s="79" t="s">
        <v>52</v>
      </c>
      <c r="T3" s="79" t="s">
        <v>52</v>
      </c>
      <c r="U3" s="79" t="s">
        <v>54</v>
      </c>
      <c r="V3" s="79" t="s">
        <v>55</v>
      </c>
      <c r="W3" s="79" t="s">
        <v>52</v>
      </c>
      <c r="X3" s="79" t="s">
        <v>52</v>
      </c>
      <c r="Y3" s="79" t="s">
        <v>52</v>
      </c>
      <c r="Z3" s="79" t="s">
        <v>56</v>
      </c>
      <c r="AA3" s="79" t="s">
        <v>57</v>
      </c>
      <c r="AB3" s="79"/>
      <c r="AC3" s="79" t="s">
        <v>58</v>
      </c>
      <c r="AD3" s="79" t="s">
        <v>48</v>
      </c>
      <c r="AE3" s="79" t="s">
        <v>49</v>
      </c>
      <c r="AF3" s="128" t="s">
        <v>59</v>
      </c>
    </row>
    <row r="4" ht="25.5" spans="1:32">
      <c r="A4" s="83">
        <v>3</v>
      </c>
      <c r="B4" s="79" t="s">
        <v>60</v>
      </c>
      <c r="C4" s="84">
        <v>42387</v>
      </c>
      <c r="D4" s="84">
        <v>42752</v>
      </c>
      <c r="E4" s="85">
        <v>12</v>
      </c>
      <c r="F4" s="77">
        <v>2000</v>
      </c>
      <c r="G4" s="77">
        <v>2000</v>
      </c>
      <c r="H4" s="77">
        <v>0</v>
      </c>
      <c r="I4" s="106">
        <v>0.09</v>
      </c>
      <c r="J4" s="106">
        <v>0.03</v>
      </c>
      <c r="K4" s="106">
        <v>0.04</v>
      </c>
      <c r="L4" s="106">
        <v>0</v>
      </c>
      <c r="M4" s="106">
        <v>0.16</v>
      </c>
      <c r="N4" s="107" t="s">
        <v>34</v>
      </c>
      <c r="O4" s="79" t="s">
        <v>61</v>
      </c>
      <c r="P4" s="79" t="s">
        <v>62</v>
      </c>
      <c r="Q4" s="79" t="s">
        <v>63</v>
      </c>
      <c r="R4" s="79" t="s">
        <v>38</v>
      </c>
      <c r="S4" s="79" t="s">
        <v>39</v>
      </c>
      <c r="T4" s="79" t="s">
        <v>40</v>
      </c>
      <c r="U4" s="79" t="s">
        <v>41</v>
      </c>
      <c r="V4" s="79" t="s">
        <v>64</v>
      </c>
      <c r="W4" s="79" t="s">
        <v>43</v>
      </c>
      <c r="X4" s="79" t="s">
        <v>65</v>
      </c>
      <c r="Y4" s="79">
        <v>2370</v>
      </c>
      <c r="Z4" s="79" t="s">
        <v>45</v>
      </c>
      <c r="AA4" s="79"/>
      <c r="AB4" s="79" t="s">
        <v>46</v>
      </c>
      <c r="AC4" s="79" t="s">
        <v>47</v>
      </c>
      <c r="AD4" s="79" t="s">
        <v>48</v>
      </c>
      <c r="AE4" s="79" t="s">
        <v>49</v>
      </c>
      <c r="AF4" s="128" t="s">
        <v>66</v>
      </c>
    </row>
    <row r="5" ht="37.5" spans="1:32">
      <c r="A5" s="83">
        <v>4</v>
      </c>
      <c r="B5" s="79" t="s">
        <v>67</v>
      </c>
      <c r="C5" s="84">
        <v>42417</v>
      </c>
      <c r="D5" s="84">
        <v>42506</v>
      </c>
      <c r="E5" s="85">
        <v>3</v>
      </c>
      <c r="F5" s="77">
        <v>2850</v>
      </c>
      <c r="G5" s="77">
        <v>2850</v>
      </c>
      <c r="H5" s="77">
        <v>0</v>
      </c>
      <c r="I5" s="106">
        <v>0.08</v>
      </c>
      <c r="J5" s="106">
        <v>0.05</v>
      </c>
      <c r="K5" s="106">
        <v>0.04</v>
      </c>
      <c r="L5" s="106">
        <v>0.1</v>
      </c>
      <c r="M5" s="106">
        <v>0.17</v>
      </c>
      <c r="N5" s="107" t="s">
        <v>34</v>
      </c>
      <c r="O5" s="79" t="s">
        <v>68</v>
      </c>
      <c r="P5" s="79" t="s">
        <v>69</v>
      </c>
      <c r="Q5" s="79" t="s">
        <v>70</v>
      </c>
      <c r="R5" s="79" t="s">
        <v>53</v>
      </c>
      <c r="S5" s="79" t="s">
        <v>39</v>
      </c>
      <c r="T5" s="79" t="s">
        <v>71</v>
      </c>
      <c r="U5" s="79" t="s">
        <v>72</v>
      </c>
      <c r="V5" s="79" t="s">
        <v>73</v>
      </c>
      <c r="W5" s="79" t="s">
        <v>52</v>
      </c>
      <c r="X5" s="79" t="s">
        <v>52</v>
      </c>
      <c r="Y5" s="79">
        <v>3000</v>
      </c>
      <c r="Z5" s="79" t="s">
        <v>74</v>
      </c>
      <c r="AA5" s="79"/>
      <c r="AB5" s="79" t="s">
        <v>75</v>
      </c>
      <c r="AC5" s="79" t="s">
        <v>74</v>
      </c>
      <c r="AD5" s="79" t="s">
        <v>48</v>
      </c>
      <c r="AE5" s="79" t="s">
        <v>49</v>
      </c>
      <c r="AF5" s="128" t="s">
        <v>76</v>
      </c>
    </row>
    <row r="6" ht="25.5" spans="1:32">
      <c r="A6" s="83">
        <v>5</v>
      </c>
      <c r="B6" s="79" t="s">
        <v>77</v>
      </c>
      <c r="C6" s="84">
        <v>42453</v>
      </c>
      <c r="D6" s="84">
        <v>42817</v>
      </c>
      <c r="E6" s="85">
        <v>12</v>
      </c>
      <c r="F6" s="77">
        <v>5000</v>
      </c>
      <c r="G6" s="77">
        <v>5000</v>
      </c>
      <c r="H6" s="77">
        <v>0</v>
      </c>
      <c r="I6" s="106">
        <v>0.09</v>
      </c>
      <c r="J6" s="106">
        <v>0.05</v>
      </c>
      <c r="K6" s="106">
        <v>0</v>
      </c>
      <c r="L6" s="106">
        <v>0</v>
      </c>
      <c r="M6" s="106">
        <v>0.14</v>
      </c>
      <c r="N6" s="107" t="s">
        <v>34</v>
      </c>
      <c r="O6" s="79" t="s">
        <v>78</v>
      </c>
      <c r="P6" s="79" t="s">
        <v>79</v>
      </c>
      <c r="Q6" s="79" t="s">
        <v>80</v>
      </c>
      <c r="R6" s="79" t="s">
        <v>81</v>
      </c>
      <c r="S6" s="79" t="s">
        <v>39</v>
      </c>
      <c r="T6" s="79" t="s">
        <v>71</v>
      </c>
      <c r="U6" s="79" t="s">
        <v>82</v>
      </c>
      <c r="V6" s="79" t="s">
        <v>83</v>
      </c>
      <c r="W6" s="79" t="s">
        <v>52</v>
      </c>
      <c r="X6" s="79" t="s">
        <v>52</v>
      </c>
      <c r="Y6" s="79" t="s">
        <v>84</v>
      </c>
      <c r="Z6" s="79" t="s">
        <v>85</v>
      </c>
      <c r="AA6" s="79" t="s">
        <v>86</v>
      </c>
      <c r="AB6" s="79" t="s">
        <v>46</v>
      </c>
      <c r="AC6" s="79" t="s">
        <v>47</v>
      </c>
      <c r="AD6" s="79" t="s">
        <v>48</v>
      </c>
      <c r="AE6" s="79" t="s">
        <v>49</v>
      </c>
      <c r="AF6" s="128" t="s">
        <v>87</v>
      </c>
    </row>
    <row r="7" ht="37.5" spans="1:32">
      <c r="A7" s="83">
        <v>6</v>
      </c>
      <c r="B7" s="79" t="s">
        <v>88</v>
      </c>
      <c r="C7" s="84">
        <v>42457</v>
      </c>
      <c r="D7" s="84">
        <v>42821</v>
      </c>
      <c r="E7" s="85">
        <v>12</v>
      </c>
      <c r="F7" s="77">
        <v>6000</v>
      </c>
      <c r="G7" s="77">
        <v>6000</v>
      </c>
      <c r="H7" s="77">
        <v>0</v>
      </c>
      <c r="I7" s="106">
        <v>0.08</v>
      </c>
      <c r="J7" s="106">
        <v>0.03</v>
      </c>
      <c r="K7" s="106">
        <v>0.04</v>
      </c>
      <c r="L7" s="106">
        <v>0.1</v>
      </c>
      <c r="M7" s="106">
        <v>0.15</v>
      </c>
      <c r="N7" s="107" t="s">
        <v>34</v>
      </c>
      <c r="O7" s="79" t="s">
        <v>61</v>
      </c>
      <c r="P7" s="79" t="s">
        <v>62</v>
      </c>
      <c r="Q7" s="79" t="s">
        <v>63</v>
      </c>
      <c r="R7" s="79" t="s">
        <v>38</v>
      </c>
      <c r="S7" s="79" t="s">
        <v>39</v>
      </c>
      <c r="T7" s="79" t="s">
        <v>40</v>
      </c>
      <c r="U7" s="79" t="s">
        <v>41</v>
      </c>
      <c r="V7" s="79" t="s">
        <v>64</v>
      </c>
      <c r="W7" s="79" t="s">
        <v>43</v>
      </c>
      <c r="X7" s="79" t="s">
        <v>89</v>
      </c>
      <c r="Y7" s="79">
        <v>8570</v>
      </c>
      <c r="Z7" s="79" t="s">
        <v>45</v>
      </c>
      <c r="AA7" s="79"/>
      <c r="AB7" s="79" t="s">
        <v>46</v>
      </c>
      <c r="AC7" s="79" t="s">
        <v>47</v>
      </c>
      <c r="AD7" s="79" t="s">
        <v>48</v>
      </c>
      <c r="AE7" s="79" t="s">
        <v>49</v>
      </c>
      <c r="AF7" s="128" t="s">
        <v>90</v>
      </c>
    </row>
    <row r="8" ht="37.5" spans="1:32">
      <c r="A8" s="83">
        <v>7</v>
      </c>
      <c r="B8" s="79" t="s">
        <v>91</v>
      </c>
      <c r="C8" s="84">
        <v>42478</v>
      </c>
      <c r="D8" s="84">
        <v>42842</v>
      </c>
      <c r="E8" s="85">
        <v>12</v>
      </c>
      <c r="F8" s="77">
        <v>3300</v>
      </c>
      <c r="G8" s="77">
        <v>3300</v>
      </c>
      <c r="H8" s="77">
        <v>0</v>
      </c>
      <c r="I8" s="106">
        <v>0.09</v>
      </c>
      <c r="J8" s="106">
        <v>0.04</v>
      </c>
      <c r="K8" s="106">
        <v>0.02</v>
      </c>
      <c r="L8" s="106">
        <v>0.1</v>
      </c>
      <c r="M8" s="106">
        <v>0.15</v>
      </c>
      <c r="N8" s="107" t="s">
        <v>34</v>
      </c>
      <c r="O8" s="79" t="s">
        <v>91</v>
      </c>
      <c r="P8" s="79" t="s">
        <v>92</v>
      </c>
      <c r="Q8" s="79" t="s">
        <v>93</v>
      </c>
      <c r="R8" s="79" t="s">
        <v>38</v>
      </c>
      <c r="S8" s="79" t="s">
        <v>39</v>
      </c>
      <c r="T8" s="79" t="s">
        <v>40</v>
      </c>
      <c r="U8" s="79" t="s">
        <v>94</v>
      </c>
      <c r="V8" s="79" t="s">
        <v>95</v>
      </c>
      <c r="W8" s="79" t="s">
        <v>43</v>
      </c>
      <c r="X8" s="79" t="s">
        <v>96</v>
      </c>
      <c r="Y8" s="79" t="s">
        <v>84</v>
      </c>
      <c r="Z8" s="79" t="s">
        <v>97</v>
      </c>
      <c r="AA8" s="79" t="s">
        <v>98</v>
      </c>
      <c r="AB8" s="79" t="s">
        <v>99</v>
      </c>
      <c r="AC8" s="79" t="s">
        <v>47</v>
      </c>
      <c r="AD8" s="79" t="s">
        <v>48</v>
      </c>
      <c r="AE8" s="79" t="s">
        <v>49</v>
      </c>
      <c r="AF8" s="128" t="s">
        <v>100</v>
      </c>
    </row>
    <row r="9" ht="15" spans="1:32">
      <c r="A9" s="83">
        <v>8</v>
      </c>
      <c r="B9" s="79" t="s">
        <v>101</v>
      </c>
      <c r="C9" s="84">
        <v>42489</v>
      </c>
      <c r="D9" s="84">
        <v>42671</v>
      </c>
      <c r="E9" s="85">
        <v>6</v>
      </c>
      <c r="F9" s="77">
        <v>3180</v>
      </c>
      <c r="G9" s="77">
        <v>3180</v>
      </c>
      <c r="H9" s="77">
        <v>0</v>
      </c>
      <c r="I9" s="106">
        <v>0.18</v>
      </c>
      <c r="J9" s="106">
        <v>0</v>
      </c>
      <c r="K9" s="106">
        <v>0.06</v>
      </c>
      <c r="L9" s="106">
        <v>0</v>
      </c>
      <c r="M9" s="106">
        <v>0.24</v>
      </c>
      <c r="N9" s="107" t="s">
        <v>34</v>
      </c>
      <c r="O9" s="79" t="s">
        <v>52</v>
      </c>
      <c r="P9" s="79" t="s">
        <v>52</v>
      </c>
      <c r="Q9" s="79" t="s">
        <v>102</v>
      </c>
      <c r="R9" s="79" t="s">
        <v>53</v>
      </c>
      <c r="S9" s="79" t="s">
        <v>52</v>
      </c>
      <c r="T9" s="79" t="s">
        <v>52</v>
      </c>
      <c r="U9" s="79" t="s">
        <v>103</v>
      </c>
      <c r="V9" s="79" t="s">
        <v>104</v>
      </c>
      <c r="W9" s="79" t="s">
        <v>52</v>
      </c>
      <c r="X9" s="79" t="s">
        <v>52</v>
      </c>
      <c r="Y9" s="79" t="s">
        <v>52</v>
      </c>
      <c r="Z9" s="79" t="s">
        <v>105</v>
      </c>
      <c r="AA9" s="79" t="s">
        <v>106</v>
      </c>
      <c r="AB9" s="79"/>
      <c r="AC9" s="79" t="s">
        <v>58</v>
      </c>
      <c r="AD9" s="79" t="s">
        <v>48</v>
      </c>
      <c r="AE9" s="79" t="s">
        <v>49</v>
      </c>
      <c r="AF9" s="128" t="s">
        <v>107</v>
      </c>
    </row>
    <row r="10" ht="49.5" spans="1:32">
      <c r="A10" s="83">
        <v>9</v>
      </c>
      <c r="B10" s="79" t="s">
        <v>108</v>
      </c>
      <c r="C10" s="84">
        <v>42489</v>
      </c>
      <c r="D10" s="84">
        <v>42853</v>
      </c>
      <c r="E10" s="85">
        <v>12</v>
      </c>
      <c r="F10" s="77">
        <v>3000</v>
      </c>
      <c r="G10" s="77">
        <v>3000</v>
      </c>
      <c r="H10" s="77">
        <v>0</v>
      </c>
      <c r="I10" s="106">
        <v>0.08</v>
      </c>
      <c r="J10" s="106">
        <v>0.04</v>
      </c>
      <c r="K10" s="106">
        <v>0.03</v>
      </c>
      <c r="L10" s="106">
        <v>0.1</v>
      </c>
      <c r="M10" s="106">
        <f>I10+J10+K10</f>
        <v>0.15</v>
      </c>
      <c r="N10" s="107" t="s">
        <v>34</v>
      </c>
      <c r="O10" s="79" t="s">
        <v>109</v>
      </c>
      <c r="P10" s="79" t="s">
        <v>110</v>
      </c>
      <c r="Q10" s="79" t="s">
        <v>111</v>
      </c>
      <c r="R10" s="79" t="s">
        <v>38</v>
      </c>
      <c r="S10" s="79" t="s">
        <v>39</v>
      </c>
      <c r="T10" s="79" t="s">
        <v>40</v>
      </c>
      <c r="U10" s="79" t="s">
        <v>112</v>
      </c>
      <c r="V10" s="79" t="s">
        <v>113</v>
      </c>
      <c r="W10" s="79" t="s">
        <v>114</v>
      </c>
      <c r="X10" s="79" t="s">
        <v>115</v>
      </c>
      <c r="Y10" s="79" t="s">
        <v>84</v>
      </c>
      <c r="Z10" s="79" t="s">
        <v>97</v>
      </c>
      <c r="AA10" s="79" t="s">
        <v>98</v>
      </c>
      <c r="AB10" s="79" t="s">
        <v>75</v>
      </c>
      <c r="AC10" s="79" t="s">
        <v>74</v>
      </c>
      <c r="AD10" s="79" t="s">
        <v>48</v>
      </c>
      <c r="AE10" s="79" t="s">
        <v>49</v>
      </c>
      <c r="AF10" s="128" t="s">
        <v>116</v>
      </c>
    </row>
    <row r="11" ht="37.5" spans="1:32">
      <c r="A11" s="83">
        <v>10</v>
      </c>
      <c r="B11" s="79" t="s">
        <v>117</v>
      </c>
      <c r="C11" s="84">
        <v>42499</v>
      </c>
      <c r="D11" s="84">
        <v>42682</v>
      </c>
      <c r="E11" s="85">
        <v>6</v>
      </c>
      <c r="F11" s="77">
        <v>3000</v>
      </c>
      <c r="G11" s="77">
        <v>3000</v>
      </c>
      <c r="H11" s="77">
        <v>0</v>
      </c>
      <c r="I11" s="106">
        <v>0.09</v>
      </c>
      <c r="J11" s="106">
        <v>0.03</v>
      </c>
      <c r="K11" s="106">
        <v>0.02</v>
      </c>
      <c r="L11" s="106">
        <v>0.1</v>
      </c>
      <c r="M11" s="106">
        <f>I11+J11+K11</f>
        <v>0.14</v>
      </c>
      <c r="N11" s="107" t="s">
        <v>34</v>
      </c>
      <c r="O11" s="79" t="s">
        <v>118</v>
      </c>
      <c r="P11" s="79" t="s">
        <v>119</v>
      </c>
      <c r="Q11" s="79" t="s">
        <v>120</v>
      </c>
      <c r="R11" s="79" t="s">
        <v>38</v>
      </c>
      <c r="S11" s="79" t="s">
        <v>39</v>
      </c>
      <c r="T11" s="79" t="s">
        <v>71</v>
      </c>
      <c r="U11" s="79" t="s">
        <v>121</v>
      </c>
      <c r="V11" s="79" t="s">
        <v>122</v>
      </c>
      <c r="W11" s="79" t="s">
        <v>43</v>
      </c>
      <c r="X11" s="79" t="s">
        <v>123</v>
      </c>
      <c r="Y11" s="79" t="s">
        <v>84</v>
      </c>
      <c r="Z11" s="79" t="s">
        <v>85</v>
      </c>
      <c r="AA11" s="79" t="s">
        <v>86</v>
      </c>
      <c r="AB11" s="79" t="s">
        <v>99</v>
      </c>
      <c r="AC11" s="79" t="s">
        <v>74</v>
      </c>
      <c r="AD11" s="79" t="s">
        <v>48</v>
      </c>
      <c r="AE11" s="79" t="s">
        <v>49</v>
      </c>
      <c r="AF11" s="128" t="s">
        <v>124</v>
      </c>
    </row>
    <row r="12" ht="37.5" spans="1:32">
      <c r="A12" s="83">
        <v>11</v>
      </c>
      <c r="B12" s="79" t="s">
        <v>125</v>
      </c>
      <c r="C12" s="84">
        <v>42506</v>
      </c>
      <c r="D12" s="84">
        <v>42597</v>
      </c>
      <c r="E12" s="85">
        <v>3</v>
      </c>
      <c r="F12" s="77">
        <v>2000</v>
      </c>
      <c r="G12" s="77">
        <v>2000</v>
      </c>
      <c r="H12" s="77">
        <v>0</v>
      </c>
      <c r="I12" s="106">
        <v>0.1</v>
      </c>
      <c r="J12" s="106">
        <v>0.08</v>
      </c>
      <c r="K12" s="106">
        <v>0</v>
      </c>
      <c r="L12" s="106">
        <v>0.1</v>
      </c>
      <c r="M12" s="106">
        <f>I12+J12+K12</f>
        <v>0.18</v>
      </c>
      <c r="N12" s="107" t="s">
        <v>34</v>
      </c>
      <c r="O12" s="79" t="s">
        <v>68</v>
      </c>
      <c r="P12" s="79" t="s">
        <v>69</v>
      </c>
      <c r="Q12" s="79" t="s">
        <v>70</v>
      </c>
      <c r="R12" s="79" t="s">
        <v>53</v>
      </c>
      <c r="S12" s="79" t="s">
        <v>39</v>
      </c>
      <c r="T12" s="79" t="s">
        <v>71</v>
      </c>
      <c r="U12" s="79" t="s">
        <v>72</v>
      </c>
      <c r="V12" s="79" t="s">
        <v>73</v>
      </c>
      <c r="W12" s="79" t="s">
        <v>52</v>
      </c>
      <c r="X12" s="79" t="s">
        <v>52</v>
      </c>
      <c r="Y12" s="79" t="s">
        <v>84</v>
      </c>
      <c r="Z12" s="79" t="s">
        <v>74</v>
      </c>
      <c r="AA12" s="79" t="s">
        <v>126</v>
      </c>
      <c r="AB12" s="79" t="s">
        <v>127</v>
      </c>
      <c r="AC12" s="79" t="s">
        <v>74</v>
      </c>
      <c r="AD12" s="79" t="s">
        <v>48</v>
      </c>
      <c r="AE12" s="79" t="s">
        <v>128</v>
      </c>
      <c r="AF12" s="128" t="s">
        <v>129</v>
      </c>
    </row>
    <row r="13" ht="61.5" spans="1:32">
      <c r="A13" s="83">
        <v>12</v>
      </c>
      <c r="B13" s="79" t="s">
        <v>130</v>
      </c>
      <c r="C13" s="84">
        <v>42508</v>
      </c>
      <c r="D13" s="84">
        <v>42872</v>
      </c>
      <c r="E13" s="85">
        <v>12</v>
      </c>
      <c r="F13" s="77">
        <v>2700</v>
      </c>
      <c r="G13" s="77">
        <v>2700</v>
      </c>
      <c r="H13" s="77">
        <v>0</v>
      </c>
      <c r="I13" s="106">
        <v>0.09</v>
      </c>
      <c r="J13" s="106">
        <v>0.06</v>
      </c>
      <c r="K13" s="106">
        <v>0</v>
      </c>
      <c r="L13" s="106">
        <v>0.1</v>
      </c>
      <c r="M13" s="106">
        <f>I13+J13+K13</f>
        <v>0.15</v>
      </c>
      <c r="N13" s="107" t="s">
        <v>34</v>
      </c>
      <c r="O13" s="79" t="s">
        <v>131</v>
      </c>
      <c r="P13" s="79" t="s">
        <v>132</v>
      </c>
      <c r="Q13" s="79" t="s">
        <v>133</v>
      </c>
      <c r="R13" s="79" t="s">
        <v>81</v>
      </c>
      <c r="S13" s="79" t="s">
        <v>39</v>
      </c>
      <c r="T13" s="79" t="s">
        <v>40</v>
      </c>
      <c r="U13" s="79" t="s">
        <v>134</v>
      </c>
      <c r="V13" s="79" t="s">
        <v>135</v>
      </c>
      <c r="W13" s="79" t="s">
        <v>52</v>
      </c>
      <c r="X13" s="79" t="s">
        <v>52</v>
      </c>
      <c r="Y13" s="79" t="s">
        <v>84</v>
      </c>
      <c r="Z13" s="79" t="s">
        <v>85</v>
      </c>
      <c r="AA13" s="79" t="s">
        <v>86</v>
      </c>
      <c r="AB13" s="79" t="s">
        <v>99</v>
      </c>
      <c r="AC13" s="79" t="s">
        <v>74</v>
      </c>
      <c r="AD13" s="79" t="s">
        <v>48</v>
      </c>
      <c r="AE13" s="79" t="s">
        <v>49</v>
      </c>
      <c r="AF13" s="128" t="s">
        <v>136</v>
      </c>
    </row>
    <row r="14" ht="49.5" spans="1:32">
      <c r="A14" s="83">
        <v>13</v>
      </c>
      <c r="B14" s="79" t="s">
        <v>137</v>
      </c>
      <c r="C14" s="84">
        <v>42509</v>
      </c>
      <c r="D14" s="84">
        <v>42873</v>
      </c>
      <c r="E14" s="85">
        <v>12</v>
      </c>
      <c r="F14" s="77">
        <v>10000</v>
      </c>
      <c r="G14" s="77">
        <v>10000</v>
      </c>
      <c r="H14" s="77">
        <v>0</v>
      </c>
      <c r="I14" s="106">
        <v>0.09</v>
      </c>
      <c r="J14" s="106">
        <v>0.03</v>
      </c>
      <c r="K14" s="106">
        <v>0</v>
      </c>
      <c r="L14" s="106">
        <v>0</v>
      </c>
      <c r="M14" s="106">
        <f>I14+J14+K14</f>
        <v>0.12</v>
      </c>
      <c r="N14" s="106" t="s">
        <v>34</v>
      </c>
      <c r="O14" s="79" t="s">
        <v>138</v>
      </c>
      <c r="P14" s="79" t="s">
        <v>139</v>
      </c>
      <c r="Q14" s="79" t="s">
        <v>140</v>
      </c>
      <c r="R14" s="79" t="s">
        <v>81</v>
      </c>
      <c r="S14" s="79" t="s">
        <v>39</v>
      </c>
      <c r="T14" s="79" t="s">
        <v>40</v>
      </c>
      <c r="U14" s="79" t="s">
        <v>141</v>
      </c>
      <c r="V14" s="79" t="s">
        <v>142</v>
      </c>
      <c r="W14" s="79" t="s">
        <v>43</v>
      </c>
      <c r="X14" s="79" t="s">
        <v>143</v>
      </c>
      <c r="Y14" s="79" t="s">
        <v>144</v>
      </c>
      <c r="Z14" s="79" t="s">
        <v>85</v>
      </c>
      <c r="AA14" s="79" t="s">
        <v>86</v>
      </c>
      <c r="AB14" s="79" t="s">
        <v>99</v>
      </c>
      <c r="AC14" s="79" t="s">
        <v>74</v>
      </c>
      <c r="AD14" s="79" t="s">
        <v>145</v>
      </c>
      <c r="AE14" s="79" t="s">
        <v>49</v>
      </c>
      <c r="AF14" s="128" t="s">
        <v>146</v>
      </c>
    </row>
    <row r="15" ht="49.5" spans="1:32">
      <c r="A15" s="83">
        <v>14</v>
      </c>
      <c r="B15" s="79" t="s">
        <v>147</v>
      </c>
      <c r="C15" s="84">
        <v>42517</v>
      </c>
      <c r="D15" s="84">
        <v>42700</v>
      </c>
      <c r="E15" s="85">
        <v>12</v>
      </c>
      <c r="F15" s="77">
        <v>3000</v>
      </c>
      <c r="G15" s="77">
        <v>3000</v>
      </c>
      <c r="H15" s="77">
        <v>0</v>
      </c>
      <c r="I15" s="106">
        <v>0.09</v>
      </c>
      <c r="J15" s="106">
        <v>0.06</v>
      </c>
      <c r="K15" s="106">
        <v>0</v>
      </c>
      <c r="L15" s="106">
        <v>0.1</v>
      </c>
      <c r="M15" s="106">
        <v>0.15</v>
      </c>
      <c r="N15" s="106" t="s">
        <v>34</v>
      </c>
      <c r="O15" s="79" t="s">
        <v>148</v>
      </c>
      <c r="P15" s="79" t="s">
        <v>149</v>
      </c>
      <c r="Q15" s="79" t="s">
        <v>150</v>
      </c>
      <c r="R15" s="79" t="s">
        <v>81</v>
      </c>
      <c r="S15" s="79" t="s">
        <v>39</v>
      </c>
      <c r="T15" s="79" t="s">
        <v>40</v>
      </c>
      <c r="U15" s="79" t="s">
        <v>151</v>
      </c>
      <c r="V15" s="79" t="s">
        <v>152</v>
      </c>
      <c r="W15" s="79" t="s">
        <v>43</v>
      </c>
      <c r="X15" s="79" t="s">
        <v>153</v>
      </c>
      <c r="Y15" s="79" t="s">
        <v>84</v>
      </c>
      <c r="Z15" s="79" t="s">
        <v>85</v>
      </c>
      <c r="AA15" s="79" t="s">
        <v>86</v>
      </c>
      <c r="AB15" s="79" t="s">
        <v>99</v>
      </c>
      <c r="AC15" s="79" t="s">
        <v>74</v>
      </c>
      <c r="AD15" s="79" t="s">
        <v>48</v>
      </c>
      <c r="AE15" s="79" t="s">
        <v>49</v>
      </c>
      <c r="AF15" s="128" t="s">
        <v>154</v>
      </c>
    </row>
    <row r="16" ht="61.5" spans="1:32">
      <c r="A16" s="83">
        <v>15</v>
      </c>
      <c r="B16" s="79" t="s">
        <v>155</v>
      </c>
      <c r="C16" s="84">
        <v>42522</v>
      </c>
      <c r="D16" s="84">
        <v>42704</v>
      </c>
      <c r="E16" s="85">
        <v>6</v>
      </c>
      <c r="F16" s="77">
        <v>2850</v>
      </c>
      <c r="G16" s="77">
        <v>2850</v>
      </c>
      <c r="H16" s="77">
        <v>0</v>
      </c>
      <c r="I16" s="106">
        <v>0.1</v>
      </c>
      <c r="J16" s="106">
        <v>0.08</v>
      </c>
      <c r="K16" s="106">
        <v>0</v>
      </c>
      <c r="L16" s="106">
        <v>0.1</v>
      </c>
      <c r="M16" s="106">
        <v>0.18</v>
      </c>
      <c r="N16" s="107" t="s">
        <v>34</v>
      </c>
      <c r="O16" s="79" t="s">
        <v>156</v>
      </c>
      <c r="P16" s="79" t="s">
        <v>157</v>
      </c>
      <c r="Q16" s="79" t="s">
        <v>158</v>
      </c>
      <c r="R16" s="79" t="s">
        <v>38</v>
      </c>
      <c r="S16" s="79" t="s">
        <v>39</v>
      </c>
      <c r="T16" s="79" t="s">
        <v>71</v>
      </c>
      <c r="U16" s="79" t="s">
        <v>72</v>
      </c>
      <c r="V16" s="79" t="s">
        <v>159</v>
      </c>
      <c r="W16" s="79" t="s">
        <v>52</v>
      </c>
      <c r="X16" s="79" t="s">
        <v>52</v>
      </c>
      <c r="Y16" s="79" t="s">
        <v>84</v>
      </c>
      <c r="Z16" s="79" t="s">
        <v>74</v>
      </c>
      <c r="AA16" s="79"/>
      <c r="AB16" s="79" t="s">
        <v>75</v>
      </c>
      <c r="AC16" s="79" t="s">
        <v>74</v>
      </c>
      <c r="AD16" s="79" t="s">
        <v>48</v>
      </c>
      <c r="AE16" s="79" t="s">
        <v>128</v>
      </c>
      <c r="AF16" s="128" t="s">
        <v>160</v>
      </c>
    </row>
    <row r="17" ht="37.5" spans="1:32">
      <c r="A17" s="83">
        <v>16</v>
      </c>
      <c r="B17" s="79" t="s">
        <v>161</v>
      </c>
      <c r="C17" s="84">
        <v>42523</v>
      </c>
      <c r="D17" s="84">
        <v>42705</v>
      </c>
      <c r="E17" s="85">
        <v>6</v>
      </c>
      <c r="F17" s="77">
        <v>3000</v>
      </c>
      <c r="G17" s="77">
        <v>3000</v>
      </c>
      <c r="H17" s="77">
        <v>0</v>
      </c>
      <c r="I17" s="106">
        <v>0.12</v>
      </c>
      <c r="J17" s="106">
        <v>0.12</v>
      </c>
      <c r="K17" s="106">
        <v>0</v>
      </c>
      <c r="L17" s="106">
        <v>0</v>
      </c>
      <c r="M17" s="106">
        <f>I17+J17+K17</f>
        <v>0.24</v>
      </c>
      <c r="N17" s="107" t="s">
        <v>34</v>
      </c>
      <c r="O17" s="79" t="s">
        <v>162</v>
      </c>
      <c r="P17" s="79" t="s">
        <v>163</v>
      </c>
      <c r="Q17" s="79" t="s">
        <v>164</v>
      </c>
      <c r="R17" s="79" t="s">
        <v>81</v>
      </c>
      <c r="S17" s="79" t="s">
        <v>39</v>
      </c>
      <c r="T17" s="79" t="s">
        <v>71</v>
      </c>
      <c r="U17" s="79" t="s">
        <v>165</v>
      </c>
      <c r="V17" s="79" t="s">
        <v>166</v>
      </c>
      <c r="W17" s="79" t="s">
        <v>43</v>
      </c>
      <c r="X17" s="79" t="s">
        <v>167</v>
      </c>
      <c r="Y17" s="79" t="s">
        <v>84</v>
      </c>
      <c r="Z17" s="79" t="s">
        <v>97</v>
      </c>
      <c r="AA17" s="79" t="s">
        <v>106</v>
      </c>
      <c r="AB17" s="79" t="s">
        <v>168</v>
      </c>
      <c r="AC17" s="79" t="s">
        <v>58</v>
      </c>
      <c r="AD17" s="79" t="s">
        <v>48</v>
      </c>
      <c r="AE17" s="79" t="s">
        <v>49</v>
      </c>
      <c r="AF17" s="128" t="s">
        <v>169</v>
      </c>
    </row>
    <row r="18" ht="37.5" spans="1:32">
      <c r="A18" s="83">
        <v>17</v>
      </c>
      <c r="B18" s="79" t="s">
        <v>170</v>
      </c>
      <c r="C18" s="84">
        <v>42528</v>
      </c>
      <c r="D18" s="84">
        <v>42710</v>
      </c>
      <c r="E18" s="85">
        <v>6</v>
      </c>
      <c r="F18" s="77">
        <v>3000</v>
      </c>
      <c r="G18" s="77">
        <v>3000</v>
      </c>
      <c r="H18" s="77">
        <v>0</v>
      </c>
      <c r="I18" s="108">
        <v>0.09</v>
      </c>
      <c r="J18" s="108">
        <v>0.05</v>
      </c>
      <c r="K18" s="108">
        <v>0</v>
      </c>
      <c r="L18" s="108">
        <v>0</v>
      </c>
      <c r="M18" s="106">
        <f>I18+J18</f>
        <v>0.14</v>
      </c>
      <c r="N18" s="107" t="s">
        <v>34</v>
      </c>
      <c r="O18" s="79" t="s">
        <v>118</v>
      </c>
      <c r="P18" s="79" t="s">
        <v>119</v>
      </c>
      <c r="Q18" s="79" t="s">
        <v>120</v>
      </c>
      <c r="R18" s="79" t="s">
        <v>171</v>
      </c>
      <c r="S18" s="79" t="s">
        <v>39</v>
      </c>
      <c r="T18" s="79" t="s">
        <v>71</v>
      </c>
      <c r="U18" s="79" t="s">
        <v>172</v>
      </c>
      <c r="V18" s="79" t="s">
        <v>122</v>
      </c>
      <c r="W18" s="79" t="s">
        <v>43</v>
      </c>
      <c r="X18" s="79" t="s">
        <v>123</v>
      </c>
      <c r="Y18" s="79" t="s">
        <v>84</v>
      </c>
      <c r="Z18" s="79" t="s">
        <v>85</v>
      </c>
      <c r="AA18" s="79" t="s">
        <v>86</v>
      </c>
      <c r="AB18" s="79" t="s">
        <v>99</v>
      </c>
      <c r="AC18" s="79" t="s">
        <v>74</v>
      </c>
      <c r="AD18" s="79" t="s">
        <v>48</v>
      </c>
      <c r="AE18" s="79" t="s">
        <v>49</v>
      </c>
      <c r="AF18" s="128" t="s">
        <v>173</v>
      </c>
    </row>
    <row r="19" ht="25.5" spans="1:32">
      <c r="A19" s="83">
        <v>18</v>
      </c>
      <c r="B19" s="79" t="s">
        <v>174</v>
      </c>
      <c r="C19" s="84">
        <v>42537</v>
      </c>
      <c r="D19" s="84">
        <v>42901</v>
      </c>
      <c r="E19" s="85">
        <v>12</v>
      </c>
      <c r="F19" s="77">
        <v>5000</v>
      </c>
      <c r="G19" s="77">
        <v>5000</v>
      </c>
      <c r="H19" s="77">
        <v>0</v>
      </c>
      <c r="I19" s="106">
        <v>0.09</v>
      </c>
      <c r="J19" s="106">
        <v>0.05</v>
      </c>
      <c r="K19" s="106">
        <v>0</v>
      </c>
      <c r="L19" s="106">
        <v>0</v>
      </c>
      <c r="M19" s="106">
        <v>0.14</v>
      </c>
      <c r="N19" s="107" t="s">
        <v>34</v>
      </c>
      <c r="O19" s="79" t="s">
        <v>78</v>
      </c>
      <c r="P19" s="79" t="s">
        <v>79</v>
      </c>
      <c r="Q19" s="79" t="s">
        <v>80</v>
      </c>
      <c r="R19" s="79" t="s">
        <v>81</v>
      </c>
      <c r="S19" s="79" t="s">
        <v>39</v>
      </c>
      <c r="T19" s="79" t="s">
        <v>71</v>
      </c>
      <c r="U19" s="79" t="s">
        <v>82</v>
      </c>
      <c r="V19" s="79" t="s">
        <v>83</v>
      </c>
      <c r="W19" s="79" t="s">
        <v>52</v>
      </c>
      <c r="X19" s="79" t="s">
        <v>52</v>
      </c>
      <c r="Y19" s="79" t="s">
        <v>84</v>
      </c>
      <c r="Z19" s="79" t="s">
        <v>85</v>
      </c>
      <c r="AA19" s="79" t="s">
        <v>86</v>
      </c>
      <c r="AB19" s="79" t="s">
        <v>46</v>
      </c>
      <c r="AC19" s="79" t="s">
        <v>47</v>
      </c>
      <c r="AD19" s="79" t="s">
        <v>48</v>
      </c>
      <c r="AE19" s="79" t="s">
        <v>49</v>
      </c>
      <c r="AF19" s="128" t="s">
        <v>175</v>
      </c>
    </row>
    <row r="20" ht="25.5" spans="1:32">
      <c r="A20" s="83">
        <v>19</v>
      </c>
      <c r="B20" s="79" t="s">
        <v>176</v>
      </c>
      <c r="C20" s="84">
        <v>42537</v>
      </c>
      <c r="D20" s="84">
        <v>42901</v>
      </c>
      <c r="E20" s="85">
        <v>12</v>
      </c>
      <c r="F20" s="77">
        <v>4000</v>
      </c>
      <c r="G20" s="77">
        <v>4000</v>
      </c>
      <c r="H20" s="77">
        <v>0</v>
      </c>
      <c r="I20" s="106">
        <v>0.09</v>
      </c>
      <c r="J20" s="106">
        <v>0.05</v>
      </c>
      <c r="K20" s="106">
        <v>0</v>
      </c>
      <c r="L20" s="106">
        <v>0</v>
      </c>
      <c r="M20" s="106">
        <v>0.14</v>
      </c>
      <c r="N20" s="107" t="s">
        <v>34</v>
      </c>
      <c r="O20" s="79" t="s">
        <v>78</v>
      </c>
      <c r="P20" s="79" t="s">
        <v>79</v>
      </c>
      <c r="Q20" s="79" t="s">
        <v>80</v>
      </c>
      <c r="R20" s="79" t="s">
        <v>81</v>
      </c>
      <c r="S20" s="79" t="s">
        <v>39</v>
      </c>
      <c r="T20" s="79" t="s">
        <v>71</v>
      </c>
      <c r="U20" s="79" t="s">
        <v>82</v>
      </c>
      <c r="V20" s="79" t="s">
        <v>83</v>
      </c>
      <c r="W20" s="79" t="s">
        <v>52</v>
      </c>
      <c r="X20" s="79" t="s">
        <v>52</v>
      </c>
      <c r="Y20" s="79" t="s">
        <v>84</v>
      </c>
      <c r="Z20" s="79" t="s">
        <v>85</v>
      </c>
      <c r="AA20" s="79" t="s">
        <v>86</v>
      </c>
      <c r="AB20" s="79" t="s">
        <v>46</v>
      </c>
      <c r="AC20" s="79" t="s">
        <v>47</v>
      </c>
      <c r="AD20" s="79" t="s">
        <v>48</v>
      </c>
      <c r="AE20" s="79" t="s">
        <v>49</v>
      </c>
      <c r="AF20" s="128" t="s">
        <v>177</v>
      </c>
    </row>
    <row r="21" ht="25.5" spans="1:32">
      <c r="A21" s="83">
        <v>20</v>
      </c>
      <c r="B21" s="79" t="s">
        <v>178</v>
      </c>
      <c r="C21" s="84">
        <v>42541</v>
      </c>
      <c r="D21" s="84">
        <v>42905</v>
      </c>
      <c r="E21" s="85">
        <v>12</v>
      </c>
      <c r="F21" s="77">
        <v>2500</v>
      </c>
      <c r="G21" s="77">
        <v>2500</v>
      </c>
      <c r="H21" s="77">
        <v>0</v>
      </c>
      <c r="I21" s="106">
        <v>0.084</v>
      </c>
      <c r="J21" s="106">
        <v>0.056</v>
      </c>
      <c r="K21" s="106">
        <v>0</v>
      </c>
      <c r="L21" s="106">
        <v>0.1</v>
      </c>
      <c r="M21" s="106">
        <v>0.14</v>
      </c>
      <c r="N21" s="107" t="s">
        <v>34</v>
      </c>
      <c r="O21" s="79" t="s">
        <v>179</v>
      </c>
      <c r="P21" s="79" t="s">
        <v>180</v>
      </c>
      <c r="Q21" s="79" t="s">
        <v>181</v>
      </c>
      <c r="R21" s="79" t="s">
        <v>81</v>
      </c>
      <c r="S21" s="79" t="s">
        <v>39</v>
      </c>
      <c r="T21" s="79" t="s">
        <v>71</v>
      </c>
      <c r="U21" s="79" t="s">
        <v>172</v>
      </c>
      <c r="V21" s="79" t="s">
        <v>182</v>
      </c>
      <c r="W21" s="79" t="s">
        <v>52</v>
      </c>
      <c r="X21" s="79" t="s">
        <v>52</v>
      </c>
      <c r="Y21" s="79" t="s">
        <v>84</v>
      </c>
      <c r="Z21" s="79" t="s">
        <v>45</v>
      </c>
      <c r="AA21" s="79"/>
      <c r="AB21" s="79" t="s">
        <v>46</v>
      </c>
      <c r="AC21" s="79" t="s">
        <v>47</v>
      </c>
      <c r="AD21" s="79" t="s">
        <v>48</v>
      </c>
      <c r="AE21" s="79" t="s">
        <v>49</v>
      </c>
      <c r="AF21" s="128" t="s">
        <v>183</v>
      </c>
    </row>
    <row r="22" ht="25.5" spans="1:32">
      <c r="A22" s="83">
        <v>21</v>
      </c>
      <c r="B22" s="79" t="s">
        <v>184</v>
      </c>
      <c r="C22" s="84">
        <v>42541</v>
      </c>
      <c r="D22" s="84">
        <v>42905</v>
      </c>
      <c r="E22" s="85">
        <v>12</v>
      </c>
      <c r="F22" s="77">
        <v>2500</v>
      </c>
      <c r="G22" s="77">
        <v>2500</v>
      </c>
      <c r="H22" s="77">
        <v>0</v>
      </c>
      <c r="I22" s="106">
        <v>0.084</v>
      </c>
      <c r="J22" s="106">
        <v>0.056</v>
      </c>
      <c r="K22" s="106">
        <v>0</v>
      </c>
      <c r="L22" s="106">
        <v>0.1</v>
      </c>
      <c r="M22" s="106">
        <v>0.14</v>
      </c>
      <c r="N22" s="107" t="s">
        <v>34</v>
      </c>
      <c r="O22" s="79" t="s">
        <v>185</v>
      </c>
      <c r="P22" s="79" t="s">
        <v>180</v>
      </c>
      <c r="Q22" s="79" t="s">
        <v>186</v>
      </c>
      <c r="R22" s="79" t="s">
        <v>81</v>
      </c>
      <c r="S22" s="79" t="s">
        <v>39</v>
      </c>
      <c r="T22" s="79" t="s">
        <v>71</v>
      </c>
      <c r="U22" s="79" t="s">
        <v>172</v>
      </c>
      <c r="V22" s="79" t="s">
        <v>182</v>
      </c>
      <c r="W22" s="79" t="s">
        <v>52</v>
      </c>
      <c r="X22" s="79" t="s">
        <v>52</v>
      </c>
      <c r="Y22" s="79" t="s">
        <v>84</v>
      </c>
      <c r="Z22" s="79" t="s">
        <v>45</v>
      </c>
      <c r="AA22" s="79"/>
      <c r="AB22" s="79" t="s">
        <v>46</v>
      </c>
      <c r="AC22" s="79" t="s">
        <v>47</v>
      </c>
      <c r="AD22" s="79" t="s">
        <v>48</v>
      </c>
      <c r="AE22" s="79" t="s">
        <v>49</v>
      </c>
      <c r="AF22" s="128" t="s">
        <v>187</v>
      </c>
    </row>
    <row r="23" ht="37.5" spans="1:32">
      <c r="A23" s="83">
        <v>22</v>
      </c>
      <c r="B23" s="79" t="s">
        <v>188</v>
      </c>
      <c r="C23" s="84">
        <v>42559</v>
      </c>
      <c r="D23" s="84">
        <v>42742</v>
      </c>
      <c r="E23" s="85">
        <v>6</v>
      </c>
      <c r="F23" s="77">
        <v>4000</v>
      </c>
      <c r="G23" s="77">
        <v>4000</v>
      </c>
      <c r="H23" s="77">
        <v>0</v>
      </c>
      <c r="I23" s="106">
        <v>0.09</v>
      </c>
      <c r="J23" s="106">
        <v>0.05</v>
      </c>
      <c r="K23" s="106">
        <v>0</v>
      </c>
      <c r="L23" s="106">
        <v>0.1</v>
      </c>
      <c r="M23" s="106">
        <v>0.14</v>
      </c>
      <c r="N23" s="107" t="s">
        <v>34</v>
      </c>
      <c r="O23" s="79" t="s">
        <v>118</v>
      </c>
      <c r="P23" s="79" t="s">
        <v>119</v>
      </c>
      <c r="Q23" s="79" t="s">
        <v>120</v>
      </c>
      <c r="R23" s="79" t="s">
        <v>38</v>
      </c>
      <c r="S23" s="79" t="s">
        <v>39</v>
      </c>
      <c r="T23" s="79" t="s">
        <v>71</v>
      </c>
      <c r="U23" s="79" t="s">
        <v>121</v>
      </c>
      <c r="V23" s="79" t="s">
        <v>122</v>
      </c>
      <c r="W23" s="79" t="s">
        <v>43</v>
      </c>
      <c r="X23" s="79" t="s">
        <v>189</v>
      </c>
      <c r="Y23" s="79" t="s">
        <v>84</v>
      </c>
      <c r="Z23" s="79" t="s">
        <v>85</v>
      </c>
      <c r="AA23" s="79" t="s">
        <v>86</v>
      </c>
      <c r="AB23" s="79" t="s">
        <v>99</v>
      </c>
      <c r="AC23" s="79" t="s">
        <v>74</v>
      </c>
      <c r="AD23" s="79" t="s">
        <v>48</v>
      </c>
      <c r="AE23" s="79" t="s">
        <v>49</v>
      </c>
      <c r="AF23" s="128" t="s">
        <v>190</v>
      </c>
    </row>
    <row r="24" ht="37.5" spans="1:32">
      <c r="A24" s="83">
        <v>23</v>
      </c>
      <c r="B24" s="79" t="s">
        <v>191</v>
      </c>
      <c r="C24" s="84">
        <v>42571</v>
      </c>
      <c r="D24" s="84">
        <v>42935</v>
      </c>
      <c r="E24" s="85">
        <v>12</v>
      </c>
      <c r="F24" s="77">
        <v>6000</v>
      </c>
      <c r="G24" s="77">
        <v>6000</v>
      </c>
      <c r="H24" s="77">
        <v>0</v>
      </c>
      <c r="I24" s="106">
        <v>0.06</v>
      </c>
      <c r="J24" s="106">
        <v>0.03</v>
      </c>
      <c r="K24" s="106">
        <v>0.04</v>
      </c>
      <c r="L24" s="106">
        <v>0.1</v>
      </c>
      <c r="M24" s="106">
        <f>I24+J24+K24</f>
        <v>0.13</v>
      </c>
      <c r="N24" s="107" t="s">
        <v>34</v>
      </c>
      <c r="O24" s="79" t="s">
        <v>192</v>
      </c>
      <c r="P24" s="79" t="s">
        <v>193</v>
      </c>
      <c r="Q24" s="79" t="s">
        <v>194</v>
      </c>
      <c r="R24" s="79" t="s">
        <v>81</v>
      </c>
      <c r="S24" s="79" t="s">
        <v>195</v>
      </c>
      <c r="T24" s="79" t="s">
        <v>71</v>
      </c>
      <c r="U24" s="79" t="s">
        <v>196</v>
      </c>
      <c r="V24" s="79" t="s">
        <v>197</v>
      </c>
      <c r="W24" s="79" t="s">
        <v>198</v>
      </c>
      <c r="X24" s="79" t="s">
        <v>52</v>
      </c>
      <c r="Y24" s="79" t="s">
        <v>199</v>
      </c>
      <c r="Z24" s="79" t="s">
        <v>105</v>
      </c>
      <c r="AA24" s="79" t="s">
        <v>106</v>
      </c>
      <c r="AB24" s="79" t="s">
        <v>99</v>
      </c>
      <c r="AC24" s="79" t="s">
        <v>58</v>
      </c>
      <c r="AD24" s="79" t="s">
        <v>48</v>
      </c>
      <c r="AE24" s="79" t="s">
        <v>49</v>
      </c>
      <c r="AF24" s="128" t="s">
        <v>200</v>
      </c>
    </row>
    <row r="25" ht="25.5" spans="1:32">
      <c r="A25" s="83">
        <v>24</v>
      </c>
      <c r="B25" s="79" t="s">
        <v>201</v>
      </c>
      <c r="C25" s="84">
        <v>42580</v>
      </c>
      <c r="D25" s="84">
        <v>42944</v>
      </c>
      <c r="E25" s="85">
        <v>12</v>
      </c>
      <c r="F25" s="77">
        <v>3000</v>
      </c>
      <c r="G25" s="77">
        <v>3000</v>
      </c>
      <c r="H25" s="77">
        <v>0</v>
      </c>
      <c r="I25" s="106">
        <v>0.09</v>
      </c>
      <c r="J25" s="106">
        <v>0.05</v>
      </c>
      <c r="K25" s="106">
        <v>0</v>
      </c>
      <c r="L25" s="106">
        <v>0</v>
      </c>
      <c r="M25" s="106">
        <v>0.14</v>
      </c>
      <c r="N25" s="107" t="s">
        <v>34</v>
      </c>
      <c r="O25" s="79" t="s">
        <v>78</v>
      </c>
      <c r="P25" s="79" t="s">
        <v>79</v>
      </c>
      <c r="Q25" s="79" t="s">
        <v>80</v>
      </c>
      <c r="R25" s="79" t="s">
        <v>81</v>
      </c>
      <c r="S25" s="79" t="s">
        <v>39</v>
      </c>
      <c r="T25" s="79" t="s">
        <v>71</v>
      </c>
      <c r="U25" s="79" t="s">
        <v>82</v>
      </c>
      <c r="V25" s="79" t="s">
        <v>83</v>
      </c>
      <c r="W25" s="79" t="s">
        <v>52</v>
      </c>
      <c r="X25" s="79" t="s">
        <v>52</v>
      </c>
      <c r="Y25" s="79" t="s">
        <v>84</v>
      </c>
      <c r="Z25" s="79" t="s">
        <v>85</v>
      </c>
      <c r="AA25" s="79" t="s">
        <v>86</v>
      </c>
      <c r="AB25" s="79" t="s">
        <v>46</v>
      </c>
      <c r="AC25" s="79" t="s">
        <v>47</v>
      </c>
      <c r="AD25" s="79" t="s">
        <v>48</v>
      </c>
      <c r="AE25" s="79" t="s">
        <v>49</v>
      </c>
      <c r="AF25" s="128" t="s">
        <v>202</v>
      </c>
    </row>
    <row r="26" ht="25.5" spans="1:32">
      <c r="A26" s="83">
        <v>25</v>
      </c>
      <c r="B26" s="79" t="s">
        <v>203</v>
      </c>
      <c r="C26" s="84">
        <v>42580</v>
      </c>
      <c r="D26" s="84">
        <v>42944</v>
      </c>
      <c r="E26" s="85">
        <v>12</v>
      </c>
      <c r="F26" s="77">
        <v>6000</v>
      </c>
      <c r="G26" s="77">
        <v>6000</v>
      </c>
      <c r="H26" s="77">
        <v>0</v>
      </c>
      <c r="I26" s="106">
        <v>0.1</v>
      </c>
      <c r="J26" s="106">
        <v>0.04</v>
      </c>
      <c r="K26" s="106">
        <v>0</v>
      </c>
      <c r="L26" s="106">
        <v>0</v>
      </c>
      <c r="M26" s="106">
        <f>I26+J26+K26</f>
        <v>0.14</v>
      </c>
      <c r="N26" s="107" t="s">
        <v>34</v>
      </c>
      <c r="O26" s="79" t="s">
        <v>204</v>
      </c>
      <c r="P26" s="79" t="s">
        <v>79</v>
      </c>
      <c r="Q26" s="79" t="s">
        <v>80</v>
      </c>
      <c r="R26" s="79" t="s">
        <v>81</v>
      </c>
      <c r="S26" s="79" t="s">
        <v>39</v>
      </c>
      <c r="T26" s="79" t="s">
        <v>71</v>
      </c>
      <c r="U26" s="79" t="s">
        <v>82</v>
      </c>
      <c r="V26" s="79" t="s">
        <v>83</v>
      </c>
      <c r="W26" s="79" t="s">
        <v>52</v>
      </c>
      <c r="X26" s="79" t="s">
        <v>52</v>
      </c>
      <c r="Y26" s="79" t="s">
        <v>84</v>
      </c>
      <c r="Z26" s="79" t="s">
        <v>56</v>
      </c>
      <c r="AA26" s="79" t="s">
        <v>57</v>
      </c>
      <c r="AB26" s="79" t="s">
        <v>168</v>
      </c>
      <c r="AC26" s="79" t="s">
        <v>58</v>
      </c>
      <c r="AD26" s="79" t="s">
        <v>48</v>
      </c>
      <c r="AE26" s="79" t="s">
        <v>49</v>
      </c>
      <c r="AF26" s="128" t="s">
        <v>205</v>
      </c>
    </row>
    <row r="27" ht="37.5" spans="1:32">
      <c r="A27" s="83">
        <v>26</v>
      </c>
      <c r="B27" s="79" t="s">
        <v>206</v>
      </c>
      <c r="C27" s="84">
        <v>42585</v>
      </c>
      <c r="D27" s="84">
        <v>42949</v>
      </c>
      <c r="E27" s="85">
        <v>12</v>
      </c>
      <c r="F27" s="77">
        <v>5000</v>
      </c>
      <c r="G27" s="77">
        <v>5000</v>
      </c>
      <c r="H27" s="77">
        <v>0</v>
      </c>
      <c r="I27" s="106">
        <v>0.09</v>
      </c>
      <c r="J27" s="106">
        <v>0.04</v>
      </c>
      <c r="K27" s="106">
        <v>0.05</v>
      </c>
      <c r="L27" s="106">
        <v>0.15</v>
      </c>
      <c r="M27" s="106">
        <f>I27+J27+K27</f>
        <v>0.18</v>
      </c>
      <c r="N27" s="107" t="s">
        <v>34</v>
      </c>
      <c r="O27" s="79" t="s">
        <v>204</v>
      </c>
      <c r="P27" s="79" t="s">
        <v>207</v>
      </c>
      <c r="Q27" s="79" t="s">
        <v>208</v>
      </c>
      <c r="R27" s="79" t="s">
        <v>81</v>
      </c>
      <c r="S27" s="79" t="s">
        <v>39</v>
      </c>
      <c r="T27" s="79" t="s">
        <v>71</v>
      </c>
      <c r="U27" s="79" t="s">
        <v>172</v>
      </c>
      <c r="V27" s="79" t="s">
        <v>209</v>
      </c>
      <c r="W27" s="79" t="s">
        <v>43</v>
      </c>
      <c r="X27" s="79" t="s">
        <v>210</v>
      </c>
      <c r="Y27" s="79" t="s">
        <v>199</v>
      </c>
      <c r="Z27" s="79" t="s">
        <v>56</v>
      </c>
      <c r="AA27" s="79" t="s">
        <v>57</v>
      </c>
      <c r="AB27" s="79" t="s">
        <v>168</v>
      </c>
      <c r="AC27" s="79" t="s">
        <v>58</v>
      </c>
      <c r="AD27" s="79" t="s">
        <v>211</v>
      </c>
      <c r="AE27" s="79" t="s">
        <v>49</v>
      </c>
      <c r="AF27" s="128" t="s">
        <v>212</v>
      </c>
    </row>
    <row r="28" ht="25.5" spans="1:32">
      <c r="A28" s="83">
        <v>27</v>
      </c>
      <c r="B28" s="79" t="s">
        <v>213</v>
      </c>
      <c r="C28" s="84">
        <v>42585</v>
      </c>
      <c r="D28" s="84">
        <v>42949</v>
      </c>
      <c r="E28" s="85">
        <v>12</v>
      </c>
      <c r="F28" s="77">
        <v>2000</v>
      </c>
      <c r="G28" s="77">
        <v>2000</v>
      </c>
      <c r="H28" s="77">
        <v>0</v>
      </c>
      <c r="I28" s="106">
        <v>0.09</v>
      </c>
      <c r="J28" s="106">
        <v>0.05</v>
      </c>
      <c r="K28" s="106">
        <v>0</v>
      </c>
      <c r="L28" s="106">
        <v>0</v>
      </c>
      <c r="M28" s="106">
        <v>0.14</v>
      </c>
      <c r="N28" s="107" t="s">
        <v>34</v>
      </c>
      <c r="O28" s="79" t="s">
        <v>78</v>
      </c>
      <c r="P28" s="79" t="s">
        <v>79</v>
      </c>
      <c r="Q28" s="79" t="s">
        <v>80</v>
      </c>
      <c r="R28" s="79" t="s">
        <v>81</v>
      </c>
      <c r="S28" s="79" t="s">
        <v>39</v>
      </c>
      <c r="T28" s="79" t="s">
        <v>71</v>
      </c>
      <c r="U28" s="79" t="s">
        <v>82</v>
      </c>
      <c r="V28" s="79" t="s">
        <v>83</v>
      </c>
      <c r="W28" s="79" t="s">
        <v>52</v>
      </c>
      <c r="X28" s="79" t="s">
        <v>52</v>
      </c>
      <c r="Y28" s="79" t="s">
        <v>84</v>
      </c>
      <c r="Z28" s="79" t="s">
        <v>85</v>
      </c>
      <c r="AA28" s="79" t="s">
        <v>86</v>
      </c>
      <c r="AB28" s="79" t="s">
        <v>46</v>
      </c>
      <c r="AC28" s="79" t="s">
        <v>47</v>
      </c>
      <c r="AD28" s="79" t="s">
        <v>48</v>
      </c>
      <c r="AE28" s="79" t="s">
        <v>49</v>
      </c>
      <c r="AF28" s="128" t="s">
        <v>214</v>
      </c>
    </row>
    <row r="29" ht="37.5" spans="1:32">
      <c r="A29" s="83">
        <v>28</v>
      </c>
      <c r="B29" s="79" t="s">
        <v>215</v>
      </c>
      <c r="C29" s="84">
        <v>42586</v>
      </c>
      <c r="D29" s="84">
        <v>42950</v>
      </c>
      <c r="E29" s="85">
        <v>12</v>
      </c>
      <c r="F29" s="77">
        <v>5000</v>
      </c>
      <c r="G29" s="77">
        <v>5000</v>
      </c>
      <c r="H29" s="77">
        <v>0</v>
      </c>
      <c r="I29" s="106">
        <v>0.09</v>
      </c>
      <c r="J29" s="106">
        <v>0.04</v>
      </c>
      <c r="K29" s="106">
        <v>0.05</v>
      </c>
      <c r="L29" s="106">
        <v>0.15</v>
      </c>
      <c r="M29" s="106">
        <f t="shared" ref="M29:M36" si="0">I29+J29+K29</f>
        <v>0.18</v>
      </c>
      <c r="N29" s="107" t="s">
        <v>34</v>
      </c>
      <c r="O29" s="79" t="s">
        <v>204</v>
      </c>
      <c r="P29" s="79" t="s">
        <v>207</v>
      </c>
      <c r="Q29" s="79" t="s">
        <v>208</v>
      </c>
      <c r="R29" s="79" t="s">
        <v>81</v>
      </c>
      <c r="S29" s="79" t="s">
        <v>39</v>
      </c>
      <c r="T29" s="79" t="s">
        <v>71</v>
      </c>
      <c r="U29" s="79" t="s">
        <v>172</v>
      </c>
      <c r="V29" s="79" t="s">
        <v>209</v>
      </c>
      <c r="W29" s="79" t="s">
        <v>52</v>
      </c>
      <c r="X29" s="79" t="s">
        <v>52</v>
      </c>
      <c r="Y29" s="79" t="s">
        <v>84</v>
      </c>
      <c r="Z29" s="79" t="s">
        <v>56</v>
      </c>
      <c r="AA29" s="79" t="s">
        <v>57</v>
      </c>
      <c r="AB29" s="79" t="s">
        <v>168</v>
      </c>
      <c r="AC29" s="79" t="s">
        <v>58</v>
      </c>
      <c r="AD29" s="79" t="s">
        <v>48</v>
      </c>
      <c r="AE29" s="79" t="s">
        <v>49</v>
      </c>
      <c r="AF29" s="128" t="s">
        <v>216</v>
      </c>
    </row>
    <row r="30" ht="61.5" spans="1:32">
      <c r="A30" s="83">
        <v>29</v>
      </c>
      <c r="B30" s="79" t="s">
        <v>217</v>
      </c>
      <c r="C30" s="84">
        <v>42594</v>
      </c>
      <c r="D30" s="84">
        <v>42958</v>
      </c>
      <c r="E30" s="85">
        <v>12</v>
      </c>
      <c r="F30" s="77">
        <v>3300</v>
      </c>
      <c r="G30" s="77">
        <v>3300</v>
      </c>
      <c r="H30" s="77">
        <v>0</v>
      </c>
      <c r="I30" s="106">
        <v>0.08</v>
      </c>
      <c r="J30" s="106">
        <v>0.06</v>
      </c>
      <c r="K30" s="106">
        <v>0</v>
      </c>
      <c r="L30" s="106">
        <v>0.1</v>
      </c>
      <c r="M30" s="106">
        <f t="shared" si="0"/>
        <v>0.14</v>
      </c>
      <c r="N30" s="106" t="s">
        <v>34</v>
      </c>
      <c r="O30" s="79" t="s">
        <v>148</v>
      </c>
      <c r="P30" s="79" t="s">
        <v>218</v>
      </c>
      <c r="Q30" s="79" t="s">
        <v>219</v>
      </c>
      <c r="R30" s="79" t="s">
        <v>81</v>
      </c>
      <c r="S30" s="79" t="s">
        <v>39</v>
      </c>
      <c r="T30" s="79" t="s">
        <v>40</v>
      </c>
      <c r="U30" s="79" t="s">
        <v>220</v>
      </c>
      <c r="V30" s="79" t="s">
        <v>221</v>
      </c>
      <c r="W30" s="79" t="s">
        <v>43</v>
      </c>
      <c r="X30" s="79" t="s">
        <v>222</v>
      </c>
      <c r="Y30" s="79" t="s">
        <v>199</v>
      </c>
      <c r="Z30" s="79" t="s">
        <v>85</v>
      </c>
      <c r="AA30" s="79" t="s">
        <v>86</v>
      </c>
      <c r="AB30" s="79" t="s">
        <v>223</v>
      </c>
      <c r="AC30" s="79" t="s">
        <v>74</v>
      </c>
      <c r="AD30" s="79" t="s">
        <v>224</v>
      </c>
      <c r="AE30" s="79" t="s">
        <v>49</v>
      </c>
      <c r="AF30" s="128" t="s">
        <v>225</v>
      </c>
    </row>
    <row r="31" ht="37.5" spans="1:32">
      <c r="A31" s="83">
        <v>30</v>
      </c>
      <c r="B31" s="79" t="s">
        <v>226</v>
      </c>
      <c r="C31" s="84">
        <v>42640</v>
      </c>
      <c r="D31" s="84">
        <v>43004</v>
      </c>
      <c r="E31" s="85">
        <v>12</v>
      </c>
      <c r="F31" s="77">
        <v>5000</v>
      </c>
      <c r="G31" s="77">
        <v>5000</v>
      </c>
      <c r="H31" s="77">
        <v>0</v>
      </c>
      <c r="I31" s="106">
        <v>0.075</v>
      </c>
      <c r="J31" s="106">
        <v>0.015</v>
      </c>
      <c r="K31" s="106">
        <v>0.04</v>
      </c>
      <c r="L31" s="106">
        <v>0.05</v>
      </c>
      <c r="M31" s="106">
        <f t="shared" si="0"/>
        <v>0.13</v>
      </c>
      <c r="N31" s="107" t="s">
        <v>34</v>
      </c>
      <c r="O31" s="79" t="s">
        <v>204</v>
      </c>
      <c r="P31" s="79" t="s">
        <v>207</v>
      </c>
      <c r="Q31" s="79" t="s">
        <v>208</v>
      </c>
      <c r="R31" s="79" t="s">
        <v>227</v>
      </c>
      <c r="S31" s="79" t="s">
        <v>39</v>
      </c>
      <c r="T31" s="79" t="s">
        <v>71</v>
      </c>
      <c r="U31" s="79" t="s">
        <v>172</v>
      </c>
      <c r="V31" s="79" t="s">
        <v>209</v>
      </c>
      <c r="W31" s="79" t="s">
        <v>43</v>
      </c>
      <c r="X31" s="79" t="s">
        <v>228</v>
      </c>
      <c r="Y31" s="79" t="s">
        <v>199</v>
      </c>
      <c r="Z31" s="79" t="s">
        <v>56</v>
      </c>
      <c r="AA31" s="79" t="s">
        <v>57</v>
      </c>
      <c r="AB31" s="79" t="s">
        <v>168</v>
      </c>
      <c r="AC31" s="79" t="s">
        <v>58</v>
      </c>
      <c r="AD31" s="79" t="s">
        <v>211</v>
      </c>
      <c r="AE31" s="79" t="s">
        <v>49</v>
      </c>
      <c r="AF31" s="128" t="s">
        <v>229</v>
      </c>
    </row>
    <row r="32" ht="37.5" spans="1:32">
      <c r="A32" s="83">
        <v>31</v>
      </c>
      <c r="B32" s="79" t="s">
        <v>230</v>
      </c>
      <c r="C32" s="84">
        <v>42643</v>
      </c>
      <c r="D32" s="84">
        <v>43007</v>
      </c>
      <c r="E32" s="85">
        <v>12</v>
      </c>
      <c r="F32" s="77">
        <v>5000</v>
      </c>
      <c r="G32" s="77">
        <v>5000</v>
      </c>
      <c r="H32" s="77">
        <v>0</v>
      </c>
      <c r="I32" s="106">
        <v>0.075</v>
      </c>
      <c r="J32" s="106">
        <v>0.015</v>
      </c>
      <c r="K32" s="106">
        <v>0.04</v>
      </c>
      <c r="L32" s="106">
        <v>0.05</v>
      </c>
      <c r="M32" s="106">
        <f t="shared" si="0"/>
        <v>0.13</v>
      </c>
      <c r="N32" s="107" t="s">
        <v>34</v>
      </c>
      <c r="O32" s="79" t="s">
        <v>204</v>
      </c>
      <c r="P32" s="79" t="s">
        <v>207</v>
      </c>
      <c r="Q32" s="79" t="s">
        <v>208</v>
      </c>
      <c r="R32" s="79" t="s">
        <v>227</v>
      </c>
      <c r="S32" s="79" t="s">
        <v>39</v>
      </c>
      <c r="T32" s="79" t="s">
        <v>71</v>
      </c>
      <c r="U32" s="79" t="s">
        <v>172</v>
      </c>
      <c r="V32" s="79" t="s">
        <v>209</v>
      </c>
      <c r="W32" s="79" t="s">
        <v>43</v>
      </c>
      <c r="X32" s="79" t="s">
        <v>231</v>
      </c>
      <c r="Y32" s="79" t="s">
        <v>199</v>
      </c>
      <c r="Z32" s="79" t="s">
        <v>56</v>
      </c>
      <c r="AA32" s="79" t="s">
        <v>57</v>
      </c>
      <c r="AB32" s="79" t="s">
        <v>168</v>
      </c>
      <c r="AC32" s="79" t="s">
        <v>58</v>
      </c>
      <c r="AD32" s="79" t="s">
        <v>211</v>
      </c>
      <c r="AE32" s="79" t="s">
        <v>49</v>
      </c>
      <c r="AF32" s="128" t="s">
        <v>232</v>
      </c>
    </row>
    <row r="33" ht="61.5" spans="1:32">
      <c r="A33" s="83">
        <v>32</v>
      </c>
      <c r="B33" s="79" t="s">
        <v>233</v>
      </c>
      <c r="C33" s="84">
        <v>42652</v>
      </c>
      <c r="D33" s="84">
        <v>43016</v>
      </c>
      <c r="E33" s="85">
        <v>12</v>
      </c>
      <c r="F33" s="77">
        <v>5000</v>
      </c>
      <c r="G33" s="77">
        <v>5000</v>
      </c>
      <c r="H33" s="77">
        <v>0</v>
      </c>
      <c r="I33" s="106">
        <v>0.09</v>
      </c>
      <c r="J33" s="106">
        <v>0.05</v>
      </c>
      <c r="K33" s="106">
        <v>0</v>
      </c>
      <c r="L33" s="106">
        <v>0.1</v>
      </c>
      <c r="M33" s="106">
        <f t="shared" si="0"/>
        <v>0.14</v>
      </c>
      <c r="N33" s="107" t="s">
        <v>34</v>
      </c>
      <c r="O33" s="79" t="s">
        <v>234</v>
      </c>
      <c r="P33" s="79" t="s">
        <v>119</v>
      </c>
      <c r="Q33" s="79" t="s">
        <v>235</v>
      </c>
      <c r="R33" s="79" t="s">
        <v>171</v>
      </c>
      <c r="S33" s="79" t="s">
        <v>39</v>
      </c>
      <c r="T33" s="79" t="s">
        <v>71</v>
      </c>
      <c r="U33" s="79" t="s">
        <v>172</v>
      </c>
      <c r="V33" s="79" t="s">
        <v>236</v>
      </c>
      <c r="W33" s="79" t="s">
        <v>43</v>
      </c>
      <c r="X33" s="79" t="s">
        <v>237</v>
      </c>
      <c r="Y33" s="79" t="s">
        <v>84</v>
      </c>
      <c r="Z33" s="79" t="s">
        <v>85</v>
      </c>
      <c r="AA33" s="79" t="s">
        <v>86</v>
      </c>
      <c r="AB33" s="79" t="s">
        <v>75</v>
      </c>
      <c r="AC33" s="79" t="s">
        <v>74</v>
      </c>
      <c r="AD33" s="79" t="s">
        <v>211</v>
      </c>
      <c r="AE33" s="79" t="s">
        <v>49</v>
      </c>
      <c r="AF33" s="128" t="s">
        <v>238</v>
      </c>
    </row>
    <row r="34" ht="25.5" spans="1:32">
      <c r="A34" s="83">
        <v>33</v>
      </c>
      <c r="B34" s="79" t="s">
        <v>239</v>
      </c>
      <c r="C34" s="84">
        <v>42692</v>
      </c>
      <c r="D34" s="84">
        <v>43056</v>
      </c>
      <c r="E34" s="85">
        <v>12</v>
      </c>
      <c r="F34" s="77">
        <v>5000</v>
      </c>
      <c r="G34" s="77">
        <v>5000</v>
      </c>
      <c r="H34" s="77">
        <v>0</v>
      </c>
      <c r="I34" s="106">
        <v>0.084</v>
      </c>
      <c r="J34" s="106">
        <v>0.056</v>
      </c>
      <c r="K34" s="106">
        <v>0</v>
      </c>
      <c r="L34" s="106">
        <v>0.1</v>
      </c>
      <c r="M34" s="106">
        <f t="shared" si="0"/>
        <v>0.14</v>
      </c>
      <c r="N34" s="107" t="s">
        <v>34</v>
      </c>
      <c r="O34" s="79" t="s">
        <v>179</v>
      </c>
      <c r="P34" s="79" t="s">
        <v>180</v>
      </c>
      <c r="Q34" s="79" t="s">
        <v>181</v>
      </c>
      <c r="R34" s="79" t="s">
        <v>81</v>
      </c>
      <c r="S34" s="79" t="s">
        <v>39</v>
      </c>
      <c r="T34" s="79" t="s">
        <v>71</v>
      </c>
      <c r="U34" s="79" t="s">
        <v>172</v>
      </c>
      <c r="V34" s="79" t="s">
        <v>182</v>
      </c>
      <c r="W34" s="79" t="s">
        <v>52</v>
      </c>
      <c r="X34" s="79" t="s">
        <v>52</v>
      </c>
      <c r="Y34" s="79" t="s">
        <v>84</v>
      </c>
      <c r="Z34" s="79" t="s">
        <v>45</v>
      </c>
      <c r="AA34" s="79"/>
      <c r="AB34" s="79" t="s">
        <v>46</v>
      </c>
      <c r="AC34" s="79" t="s">
        <v>47</v>
      </c>
      <c r="AD34" s="79" t="s">
        <v>48</v>
      </c>
      <c r="AE34" s="79" t="s">
        <v>49</v>
      </c>
      <c r="AF34" s="128" t="s">
        <v>240</v>
      </c>
    </row>
    <row r="35" ht="37.5" spans="1:32">
      <c r="A35" s="83">
        <v>34</v>
      </c>
      <c r="B35" s="79" t="s">
        <v>241</v>
      </c>
      <c r="C35" s="84">
        <v>42704</v>
      </c>
      <c r="D35" s="84">
        <v>43068</v>
      </c>
      <c r="E35" s="85">
        <v>12</v>
      </c>
      <c r="F35" s="77">
        <v>6000</v>
      </c>
      <c r="G35" s="77">
        <v>6000</v>
      </c>
      <c r="H35" s="77">
        <v>0</v>
      </c>
      <c r="I35" s="106">
        <v>0.09</v>
      </c>
      <c r="J35" s="106">
        <v>0.06</v>
      </c>
      <c r="K35" s="106">
        <v>0</v>
      </c>
      <c r="L35" s="106">
        <v>0</v>
      </c>
      <c r="M35" s="106">
        <f t="shared" si="0"/>
        <v>0.15</v>
      </c>
      <c r="N35" s="107" t="s">
        <v>34</v>
      </c>
      <c r="O35" s="79" t="s">
        <v>242</v>
      </c>
      <c r="P35" s="79" t="s">
        <v>243</v>
      </c>
      <c r="Q35" s="79" t="s">
        <v>244</v>
      </c>
      <c r="R35" s="79" t="s">
        <v>81</v>
      </c>
      <c r="S35" s="79" t="s">
        <v>195</v>
      </c>
      <c r="T35" s="79" t="s">
        <v>40</v>
      </c>
      <c r="U35" s="79" t="s">
        <v>172</v>
      </c>
      <c r="V35" s="79" t="s">
        <v>245</v>
      </c>
      <c r="W35" s="79" t="s">
        <v>198</v>
      </c>
      <c r="X35" s="79" t="s">
        <v>52</v>
      </c>
      <c r="Y35" s="79" t="s">
        <v>199</v>
      </c>
      <c r="Z35" s="79" t="s">
        <v>246</v>
      </c>
      <c r="AA35" s="79" t="s">
        <v>98</v>
      </c>
      <c r="AB35" s="79" t="s">
        <v>46</v>
      </c>
      <c r="AC35" s="79" t="s">
        <v>58</v>
      </c>
      <c r="AD35" s="79" t="s">
        <v>211</v>
      </c>
      <c r="AE35" s="79" t="s">
        <v>49</v>
      </c>
      <c r="AF35" s="128" t="s">
        <v>247</v>
      </c>
    </row>
    <row r="36" ht="49.5" spans="1:32">
      <c r="A36" s="83">
        <v>35</v>
      </c>
      <c r="B36" s="79" t="s">
        <v>248</v>
      </c>
      <c r="C36" s="84">
        <v>42704</v>
      </c>
      <c r="D36" s="84">
        <v>43068</v>
      </c>
      <c r="E36" s="85">
        <v>12</v>
      </c>
      <c r="F36" s="77">
        <v>4000</v>
      </c>
      <c r="G36" s="77">
        <v>4000</v>
      </c>
      <c r="H36" s="77">
        <v>0</v>
      </c>
      <c r="I36" s="106">
        <v>0.09</v>
      </c>
      <c r="J36" s="106">
        <v>0.06</v>
      </c>
      <c r="K36" s="106">
        <v>0</v>
      </c>
      <c r="L36" s="106">
        <v>0</v>
      </c>
      <c r="M36" s="106">
        <f t="shared" si="0"/>
        <v>0.15</v>
      </c>
      <c r="N36" s="107" t="s">
        <v>34</v>
      </c>
      <c r="O36" s="79" t="s">
        <v>249</v>
      </c>
      <c r="P36" s="79" t="s">
        <v>250</v>
      </c>
      <c r="Q36" s="79" t="s">
        <v>251</v>
      </c>
      <c r="R36" s="79" t="s">
        <v>81</v>
      </c>
      <c r="S36" s="79" t="s">
        <v>195</v>
      </c>
      <c r="T36" s="79" t="s">
        <v>40</v>
      </c>
      <c r="U36" s="79" t="s">
        <v>172</v>
      </c>
      <c r="V36" s="79" t="s">
        <v>245</v>
      </c>
      <c r="W36" s="79" t="s">
        <v>198</v>
      </c>
      <c r="X36" s="79" t="s">
        <v>52</v>
      </c>
      <c r="Y36" s="79" t="s">
        <v>199</v>
      </c>
      <c r="Z36" s="79" t="s">
        <v>246</v>
      </c>
      <c r="AA36" s="79" t="s">
        <v>98</v>
      </c>
      <c r="AB36" s="79" t="s">
        <v>46</v>
      </c>
      <c r="AC36" s="79" t="s">
        <v>58</v>
      </c>
      <c r="AD36" s="79" t="s">
        <v>211</v>
      </c>
      <c r="AE36" s="79" t="s">
        <v>49</v>
      </c>
      <c r="AF36" s="128" t="s">
        <v>252</v>
      </c>
    </row>
    <row r="37" ht="73.5" spans="1:32">
      <c r="A37" s="83">
        <v>36</v>
      </c>
      <c r="B37" s="79" t="s">
        <v>253</v>
      </c>
      <c r="C37" s="84">
        <v>42705</v>
      </c>
      <c r="D37" s="84">
        <v>43069</v>
      </c>
      <c r="E37" s="85">
        <v>12</v>
      </c>
      <c r="F37" s="77">
        <v>5000</v>
      </c>
      <c r="G37" s="77">
        <v>5000</v>
      </c>
      <c r="H37" s="77">
        <v>0</v>
      </c>
      <c r="I37" s="106">
        <v>0.09</v>
      </c>
      <c r="J37" s="106">
        <v>0.05</v>
      </c>
      <c r="K37" s="106">
        <v>0</v>
      </c>
      <c r="L37" s="106">
        <v>0.1</v>
      </c>
      <c r="M37" s="106">
        <f t="shared" ref="M37:M43" si="1">I37+J37+K37</f>
        <v>0.14</v>
      </c>
      <c r="N37" s="107" t="s">
        <v>34</v>
      </c>
      <c r="O37" s="79" t="s">
        <v>148</v>
      </c>
      <c r="P37" s="79" t="s">
        <v>149</v>
      </c>
      <c r="Q37" s="79" t="s">
        <v>254</v>
      </c>
      <c r="R37" s="79" t="s">
        <v>81</v>
      </c>
      <c r="S37" s="79" t="s">
        <v>39</v>
      </c>
      <c r="T37" s="79" t="s">
        <v>40</v>
      </c>
      <c r="U37" s="79" t="s">
        <v>112</v>
      </c>
      <c r="V37" s="79" t="s">
        <v>255</v>
      </c>
      <c r="W37" s="79" t="s">
        <v>43</v>
      </c>
      <c r="X37" s="79" t="s">
        <v>256</v>
      </c>
      <c r="Y37" s="79" t="s">
        <v>199</v>
      </c>
      <c r="Z37" s="79" t="s">
        <v>85</v>
      </c>
      <c r="AA37" s="79" t="s">
        <v>86</v>
      </c>
      <c r="AB37" s="79" t="s">
        <v>223</v>
      </c>
      <c r="AC37" s="79" t="s">
        <v>74</v>
      </c>
      <c r="AD37" s="79" t="s">
        <v>257</v>
      </c>
      <c r="AE37" s="79" t="s">
        <v>49</v>
      </c>
      <c r="AF37" s="128" t="s">
        <v>258</v>
      </c>
    </row>
    <row r="38" ht="49.5" spans="1:32">
      <c r="A38" s="83">
        <v>37</v>
      </c>
      <c r="B38" s="79" t="s">
        <v>259</v>
      </c>
      <c r="C38" s="84">
        <v>42706</v>
      </c>
      <c r="D38" s="84">
        <v>43070</v>
      </c>
      <c r="E38" s="85">
        <v>12</v>
      </c>
      <c r="F38" s="77">
        <v>6800</v>
      </c>
      <c r="G38" s="77">
        <v>6800</v>
      </c>
      <c r="H38" s="77">
        <v>0</v>
      </c>
      <c r="I38" s="106">
        <v>0.12</v>
      </c>
      <c r="J38" s="106">
        <v>0.03</v>
      </c>
      <c r="K38" s="106">
        <v>0</v>
      </c>
      <c r="L38" s="106">
        <v>0.1</v>
      </c>
      <c r="M38" s="106">
        <f t="shared" si="1"/>
        <v>0.15</v>
      </c>
      <c r="N38" s="107" t="s">
        <v>34</v>
      </c>
      <c r="O38" s="79" t="s">
        <v>260</v>
      </c>
      <c r="P38" s="79" t="s">
        <v>261</v>
      </c>
      <c r="Q38" s="79" t="s">
        <v>262</v>
      </c>
      <c r="R38" s="79" t="s">
        <v>81</v>
      </c>
      <c r="S38" s="79" t="s">
        <v>39</v>
      </c>
      <c r="T38" s="79" t="s">
        <v>40</v>
      </c>
      <c r="U38" s="79" t="s">
        <v>172</v>
      </c>
      <c r="V38" s="79" t="s">
        <v>263</v>
      </c>
      <c r="W38" s="79" t="s">
        <v>43</v>
      </c>
      <c r="X38" s="79" t="s">
        <v>264</v>
      </c>
      <c r="Y38" s="79" t="s">
        <v>84</v>
      </c>
      <c r="Z38" s="79" t="s">
        <v>85</v>
      </c>
      <c r="AA38" s="79" t="s">
        <v>86</v>
      </c>
      <c r="AB38" s="79" t="s">
        <v>46</v>
      </c>
      <c r="AC38" s="79" t="s">
        <v>74</v>
      </c>
      <c r="AD38" s="79" t="s">
        <v>265</v>
      </c>
      <c r="AE38" s="79" t="s">
        <v>49</v>
      </c>
      <c r="AF38" s="128" t="s">
        <v>266</v>
      </c>
    </row>
    <row r="39" ht="37.5" spans="1:32">
      <c r="A39" s="83">
        <v>38</v>
      </c>
      <c r="B39" s="79" t="s">
        <v>267</v>
      </c>
      <c r="C39" s="84">
        <v>42713</v>
      </c>
      <c r="D39" s="84">
        <v>42894</v>
      </c>
      <c r="E39" s="85">
        <v>6</v>
      </c>
      <c r="F39" s="77">
        <v>3000</v>
      </c>
      <c r="G39" s="77">
        <v>3000</v>
      </c>
      <c r="H39" s="77">
        <v>0</v>
      </c>
      <c r="I39" s="106">
        <v>0.12</v>
      </c>
      <c r="J39" s="106">
        <v>0.12</v>
      </c>
      <c r="K39" s="106">
        <v>0.02</v>
      </c>
      <c r="L39" s="106">
        <v>0</v>
      </c>
      <c r="M39" s="106">
        <f t="shared" si="1"/>
        <v>0.26</v>
      </c>
      <c r="N39" s="107" t="s">
        <v>34</v>
      </c>
      <c r="O39" s="79" t="s">
        <v>162</v>
      </c>
      <c r="P39" s="79" t="s">
        <v>163</v>
      </c>
      <c r="Q39" s="79" t="s">
        <v>164</v>
      </c>
      <c r="R39" s="79" t="s">
        <v>81</v>
      </c>
      <c r="S39" s="79" t="s">
        <v>39</v>
      </c>
      <c r="T39" s="79" t="s">
        <v>71</v>
      </c>
      <c r="U39" s="79" t="s">
        <v>165</v>
      </c>
      <c r="V39" s="79" t="s">
        <v>268</v>
      </c>
      <c r="W39" s="79" t="s">
        <v>43</v>
      </c>
      <c r="X39" s="79" t="s">
        <v>269</v>
      </c>
      <c r="Y39" s="79" t="s">
        <v>199</v>
      </c>
      <c r="Z39" s="79" t="s">
        <v>97</v>
      </c>
      <c r="AA39" s="79" t="s">
        <v>106</v>
      </c>
      <c r="AB39" s="79" t="s">
        <v>168</v>
      </c>
      <c r="AC39" s="79" t="s">
        <v>58</v>
      </c>
      <c r="AD39" s="79" t="s">
        <v>48</v>
      </c>
      <c r="AE39" s="79" t="s">
        <v>49</v>
      </c>
      <c r="AF39" s="128" t="s">
        <v>270</v>
      </c>
    </row>
    <row r="40" ht="37.5" spans="1:32">
      <c r="A40" s="83">
        <v>39</v>
      </c>
      <c r="B40" s="79" t="s">
        <v>271</v>
      </c>
      <c r="C40" s="84">
        <v>42713</v>
      </c>
      <c r="D40" s="84">
        <v>42986</v>
      </c>
      <c r="E40" s="85">
        <v>12</v>
      </c>
      <c r="F40" s="77">
        <v>5000</v>
      </c>
      <c r="G40" s="77">
        <v>5000</v>
      </c>
      <c r="H40" s="77">
        <v>0</v>
      </c>
      <c r="I40" s="106">
        <v>0.12</v>
      </c>
      <c r="J40" s="106">
        <v>0.12</v>
      </c>
      <c r="K40" s="106">
        <v>0</v>
      </c>
      <c r="L40" s="106">
        <v>0</v>
      </c>
      <c r="M40" s="106">
        <f t="shared" si="1"/>
        <v>0.24</v>
      </c>
      <c r="N40" s="107" t="s">
        <v>34</v>
      </c>
      <c r="O40" s="79" t="s">
        <v>272</v>
      </c>
      <c r="P40" s="79" t="s">
        <v>162</v>
      </c>
      <c r="Q40" s="79" t="s">
        <v>273</v>
      </c>
      <c r="R40" s="79" t="s">
        <v>81</v>
      </c>
      <c r="S40" s="79" t="s">
        <v>39</v>
      </c>
      <c r="T40" s="79" t="s">
        <v>71</v>
      </c>
      <c r="U40" s="79" t="s">
        <v>165</v>
      </c>
      <c r="V40" s="79" t="s">
        <v>274</v>
      </c>
      <c r="W40" s="79" t="s">
        <v>43</v>
      </c>
      <c r="X40" s="79" t="s">
        <v>275</v>
      </c>
      <c r="Y40" s="79" t="s">
        <v>276</v>
      </c>
      <c r="Z40" s="79" t="s">
        <v>97</v>
      </c>
      <c r="AA40" s="79" t="s">
        <v>98</v>
      </c>
      <c r="AB40" s="79" t="s">
        <v>46</v>
      </c>
      <c r="AC40" s="79" t="s">
        <v>58</v>
      </c>
      <c r="AD40" s="79" t="s">
        <v>224</v>
      </c>
      <c r="AE40" s="79" t="s">
        <v>49</v>
      </c>
      <c r="AF40" s="128" t="s">
        <v>277</v>
      </c>
    </row>
    <row r="41" ht="37.5" spans="1:32">
      <c r="A41" s="83">
        <v>40</v>
      </c>
      <c r="B41" s="79" t="s">
        <v>278</v>
      </c>
      <c r="C41" s="84">
        <v>42731</v>
      </c>
      <c r="D41" s="84">
        <v>43095</v>
      </c>
      <c r="E41" s="85">
        <v>12</v>
      </c>
      <c r="F41" s="77">
        <v>5000</v>
      </c>
      <c r="G41" s="77">
        <v>5000</v>
      </c>
      <c r="H41" s="77">
        <v>0</v>
      </c>
      <c r="I41" s="106">
        <v>0.12</v>
      </c>
      <c r="J41" s="106">
        <v>0.1</v>
      </c>
      <c r="K41" s="106">
        <v>0</v>
      </c>
      <c r="L41" s="106">
        <v>0</v>
      </c>
      <c r="M41" s="106">
        <f t="shared" si="1"/>
        <v>0.22</v>
      </c>
      <c r="N41" s="107" t="s">
        <v>34</v>
      </c>
      <c r="O41" s="79" t="s">
        <v>192</v>
      </c>
      <c r="P41" s="79" t="s">
        <v>193</v>
      </c>
      <c r="Q41" s="79" t="s">
        <v>194</v>
      </c>
      <c r="R41" s="79" t="s">
        <v>171</v>
      </c>
      <c r="S41" s="79" t="s">
        <v>195</v>
      </c>
      <c r="T41" s="79" t="s">
        <v>71</v>
      </c>
      <c r="U41" s="79" t="s">
        <v>196</v>
      </c>
      <c r="V41" s="79" t="s">
        <v>279</v>
      </c>
      <c r="W41" s="79" t="s">
        <v>198</v>
      </c>
      <c r="X41" s="79" t="s">
        <v>52</v>
      </c>
      <c r="Y41" s="79" t="s">
        <v>199</v>
      </c>
      <c r="Z41" s="79" t="s">
        <v>105</v>
      </c>
      <c r="AA41" s="79" t="s">
        <v>106</v>
      </c>
      <c r="AB41" s="79" t="s">
        <v>223</v>
      </c>
      <c r="AC41" s="79" t="s">
        <v>58</v>
      </c>
      <c r="AD41" s="79" t="s">
        <v>211</v>
      </c>
      <c r="AE41" s="79" t="s">
        <v>49</v>
      </c>
      <c r="AF41" s="128" t="s">
        <v>280</v>
      </c>
    </row>
    <row r="42" ht="37.5" spans="1:32">
      <c r="A42" s="83">
        <v>41</v>
      </c>
      <c r="B42" s="79" t="s">
        <v>281</v>
      </c>
      <c r="C42" s="84">
        <v>42732</v>
      </c>
      <c r="D42" s="84">
        <v>42738</v>
      </c>
      <c r="E42" s="85" t="s">
        <v>282</v>
      </c>
      <c r="F42" s="77">
        <v>10000</v>
      </c>
      <c r="G42" s="77">
        <v>10000</v>
      </c>
      <c r="H42" s="77">
        <v>0</v>
      </c>
      <c r="I42" s="106">
        <v>0.18</v>
      </c>
      <c r="J42" s="106">
        <v>0.18</v>
      </c>
      <c r="K42" s="106">
        <v>0</v>
      </c>
      <c r="L42" s="106">
        <v>0</v>
      </c>
      <c r="M42" s="106">
        <f t="shared" si="1"/>
        <v>0.36</v>
      </c>
      <c r="N42" s="107" t="s">
        <v>34</v>
      </c>
      <c r="O42" s="79" t="s">
        <v>283</v>
      </c>
      <c r="P42" s="79" t="s">
        <v>284</v>
      </c>
      <c r="Q42" s="79"/>
      <c r="R42" s="79" t="s">
        <v>285</v>
      </c>
      <c r="S42" s="79" t="s">
        <v>39</v>
      </c>
      <c r="T42" s="79" t="s">
        <v>71</v>
      </c>
      <c r="U42" s="79" t="s">
        <v>54</v>
      </c>
      <c r="V42" s="79"/>
      <c r="W42" s="79" t="s">
        <v>52</v>
      </c>
      <c r="X42" s="79" t="s">
        <v>52</v>
      </c>
      <c r="Y42" s="79" t="s">
        <v>52</v>
      </c>
      <c r="Z42" s="79" t="s">
        <v>56</v>
      </c>
      <c r="AA42" s="79" t="s">
        <v>57</v>
      </c>
      <c r="AB42" s="79" t="s">
        <v>46</v>
      </c>
      <c r="AC42" s="79" t="s">
        <v>58</v>
      </c>
      <c r="AD42" s="79" t="s">
        <v>48</v>
      </c>
      <c r="AE42" s="79" t="s">
        <v>128</v>
      </c>
      <c r="AF42" s="128" t="s">
        <v>286</v>
      </c>
    </row>
    <row r="43" ht="25.5" spans="1:32">
      <c r="A43" s="83">
        <v>42</v>
      </c>
      <c r="B43" s="79" t="s">
        <v>287</v>
      </c>
      <c r="C43" s="84">
        <v>42734</v>
      </c>
      <c r="D43" s="84">
        <v>42774</v>
      </c>
      <c r="E43" s="85" t="s">
        <v>288</v>
      </c>
      <c r="F43" s="77">
        <v>5000</v>
      </c>
      <c r="G43" s="77">
        <v>5000</v>
      </c>
      <c r="H43" s="77">
        <v>0</v>
      </c>
      <c r="I43" s="106">
        <v>0.18</v>
      </c>
      <c r="J43" s="106">
        <v>0.18</v>
      </c>
      <c r="K43" s="106">
        <v>0</v>
      </c>
      <c r="L43" s="106">
        <v>0</v>
      </c>
      <c r="M43" s="106">
        <f t="shared" si="1"/>
        <v>0.36</v>
      </c>
      <c r="N43" s="107" t="s">
        <v>34</v>
      </c>
      <c r="O43" s="79" t="s">
        <v>289</v>
      </c>
      <c r="P43" s="79" t="s">
        <v>290</v>
      </c>
      <c r="Q43" s="79" t="s">
        <v>291</v>
      </c>
      <c r="R43" s="79" t="s">
        <v>285</v>
      </c>
      <c r="S43" s="79" t="s">
        <v>39</v>
      </c>
      <c r="T43" s="79" t="s">
        <v>71</v>
      </c>
      <c r="U43" s="79" t="s">
        <v>292</v>
      </c>
      <c r="V43" s="123" t="s">
        <v>293</v>
      </c>
      <c r="W43" s="79" t="s">
        <v>52</v>
      </c>
      <c r="X43" s="79" t="s">
        <v>52</v>
      </c>
      <c r="Y43" s="79" t="s">
        <v>52</v>
      </c>
      <c r="Z43" s="79" t="s">
        <v>85</v>
      </c>
      <c r="AA43" s="79" t="s">
        <v>86</v>
      </c>
      <c r="AB43" s="79" t="s">
        <v>46</v>
      </c>
      <c r="AC43" s="79" t="s">
        <v>74</v>
      </c>
      <c r="AD43" s="79" t="s">
        <v>48</v>
      </c>
      <c r="AE43" s="79" t="s">
        <v>128</v>
      </c>
      <c r="AF43" s="128" t="s">
        <v>294</v>
      </c>
    </row>
    <row r="44" s="69" customFormat="1" ht="27.75" customHeight="1" spans="1:32">
      <c r="A44" s="86" t="s">
        <v>12</v>
      </c>
      <c r="B44" s="87"/>
      <c r="C44" s="88"/>
      <c r="D44" s="88"/>
      <c r="E44" s="89"/>
      <c r="F44" s="90">
        <f>SUM(F2:F43)</f>
        <v>180980</v>
      </c>
      <c r="G44" s="90">
        <f>SUM(G2:G43)</f>
        <v>180980</v>
      </c>
      <c r="H44" s="90">
        <f>SUM(H2:H43)</f>
        <v>0</v>
      </c>
      <c r="I44" s="109"/>
      <c r="J44" s="109"/>
      <c r="K44" s="109"/>
      <c r="L44" s="109"/>
      <c r="M44" s="109"/>
      <c r="N44" s="109"/>
      <c r="O44" s="110"/>
      <c r="P44" s="110"/>
      <c r="Q44" s="110"/>
      <c r="R44" s="110"/>
      <c r="S44" s="110"/>
      <c r="T44" s="110"/>
      <c r="U44" s="110"/>
      <c r="V44" s="124"/>
      <c r="W44" s="110"/>
      <c r="X44" s="110"/>
      <c r="Y44" s="110"/>
      <c r="Z44" s="110"/>
      <c r="AA44" s="110"/>
      <c r="AB44" s="110"/>
      <c r="AC44" s="110"/>
      <c r="AD44" s="110"/>
      <c r="AE44" s="110"/>
      <c r="AF44" s="129"/>
    </row>
    <row r="45" s="70" customFormat="1" ht="52.5" customHeight="1" spans="1:32">
      <c r="A45" s="91" t="s">
        <v>295</v>
      </c>
      <c r="B45" s="92"/>
      <c r="C45" s="93"/>
      <c r="D45" s="93"/>
      <c r="E45" s="94"/>
      <c r="F45" s="95"/>
      <c r="G45" s="95"/>
      <c r="H45" s="95"/>
      <c r="I45" s="111"/>
      <c r="J45" s="111"/>
      <c r="K45" s="111"/>
      <c r="L45" s="111"/>
      <c r="M45" s="111"/>
      <c r="N45" s="111"/>
      <c r="O45" s="112"/>
      <c r="P45" s="112"/>
      <c r="Q45" s="112"/>
      <c r="R45" s="112"/>
      <c r="S45" s="112"/>
      <c r="T45" s="112"/>
      <c r="U45" s="112"/>
      <c r="V45" s="125"/>
      <c r="W45" s="112"/>
      <c r="X45" s="112"/>
      <c r="Y45" s="112"/>
      <c r="Z45" s="112"/>
      <c r="AA45" s="112"/>
      <c r="AB45" s="112"/>
      <c r="AC45" s="112"/>
      <c r="AD45" s="112"/>
      <c r="AE45" s="112"/>
      <c r="AF45" s="130"/>
    </row>
    <row r="46" s="69" customFormat="1" ht="49.5" spans="1:32">
      <c r="A46" s="96">
        <v>1</v>
      </c>
      <c r="B46" s="79" t="s">
        <v>296</v>
      </c>
      <c r="C46" s="88">
        <v>42740</v>
      </c>
      <c r="D46" s="88">
        <v>43104</v>
      </c>
      <c r="E46" s="89">
        <v>12</v>
      </c>
      <c r="F46" s="90">
        <v>5000</v>
      </c>
      <c r="G46" s="90">
        <v>5000</v>
      </c>
      <c r="H46" s="90">
        <v>0</v>
      </c>
      <c r="I46" s="109">
        <v>0.09</v>
      </c>
      <c r="J46" s="109">
        <v>0.03</v>
      </c>
      <c r="K46" s="109">
        <v>0.04</v>
      </c>
      <c r="L46" s="109">
        <v>0.05</v>
      </c>
      <c r="M46" s="109">
        <f t="shared" ref="M46:M80" si="2">I46+J46+K46</f>
        <v>0.16</v>
      </c>
      <c r="N46" s="113" t="s">
        <v>34</v>
      </c>
      <c r="O46" s="79" t="s">
        <v>297</v>
      </c>
      <c r="P46" s="79" t="s">
        <v>298</v>
      </c>
      <c r="Q46" s="79" t="s">
        <v>299</v>
      </c>
      <c r="R46" s="79" t="s">
        <v>38</v>
      </c>
      <c r="S46" s="79" t="s">
        <v>39</v>
      </c>
      <c r="T46" s="79" t="s">
        <v>40</v>
      </c>
      <c r="U46" s="79" t="s">
        <v>172</v>
      </c>
      <c r="V46" s="79" t="s">
        <v>300</v>
      </c>
      <c r="W46" s="79" t="s">
        <v>43</v>
      </c>
      <c r="X46" s="79" t="s">
        <v>301</v>
      </c>
      <c r="Y46" s="79">
        <v>5820</v>
      </c>
      <c r="Z46" s="79" t="s">
        <v>45</v>
      </c>
      <c r="AA46" s="79"/>
      <c r="AB46" s="79" t="s">
        <v>46</v>
      </c>
      <c r="AC46" s="79" t="s">
        <v>47</v>
      </c>
      <c r="AD46" s="79" t="s">
        <v>302</v>
      </c>
      <c r="AE46" s="79"/>
      <c r="AF46" s="79" t="s">
        <v>303</v>
      </c>
    </row>
    <row r="47" s="69" customFormat="1" ht="49.5" spans="1:32">
      <c r="A47" s="96">
        <v>2</v>
      </c>
      <c r="B47" s="79" t="s">
        <v>304</v>
      </c>
      <c r="C47" s="88">
        <v>42814</v>
      </c>
      <c r="D47" s="88">
        <v>43178</v>
      </c>
      <c r="E47" s="89">
        <v>12</v>
      </c>
      <c r="F47" s="90">
        <v>6000</v>
      </c>
      <c r="G47" s="90">
        <v>6000</v>
      </c>
      <c r="H47" s="90">
        <v>0</v>
      </c>
      <c r="I47" s="109">
        <v>0.12</v>
      </c>
      <c r="J47" s="109">
        <v>0.03</v>
      </c>
      <c r="K47" s="109">
        <v>0</v>
      </c>
      <c r="L47" s="109">
        <v>0.1</v>
      </c>
      <c r="M47" s="114">
        <f t="shared" si="2"/>
        <v>0.15</v>
      </c>
      <c r="N47" s="113" t="s">
        <v>34</v>
      </c>
      <c r="O47" s="79" t="s">
        <v>297</v>
      </c>
      <c r="P47" s="79" t="s">
        <v>298</v>
      </c>
      <c r="Q47" s="79" t="s">
        <v>305</v>
      </c>
      <c r="R47" s="79" t="s">
        <v>38</v>
      </c>
      <c r="S47" s="79" t="s">
        <v>39</v>
      </c>
      <c r="T47" s="79" t="s">
        <v>40</v>
      </c>
      <c r="U47" s="79" t="s">
        <v>172</v>
      </c>
      <c r="V47" s="79" t="s">
        <v>300</v>
      </c>
      <c r="W47" s="79" t="s">
        <v>43</v>
      </c>
      <c r="X47" s="79" t="s">
        <v>306</v>
      </c>
      <c r="Y47" s="79">
        <v>4080</v>
      </c>
      <c r="Z47" s="79" t="s">
        <v>45</v>
      </c>
      <c r="AA47" s="79"/>
      <c r="AB47" s="79" t="s">
        <v>46</v>
      </c>
      <c r="AC47" s="79" t="s">
        <v>47</v>
      </c>
      <c r="AD47" s="79" t="s">
        <v>302</v>
      </c>
      <c r="AE47" s="79"/>
      <c r="AF47" s="79" t="s">
        <v>307</v>
      </c>
    </row>
    <row r="48" s="69" customFormat="1" ht="61.5" spans="1:32">
      <c r="A48" s="96">
        <v>3</v>
      </c>
      <c r="B48" s="79" t="s">
        <v>308</v>
      </c>
      <c r="C48" s="88">
        <v>42846</v>
      </c>
      <c r="D48" s="88">
        <v>43210</v>
      </c>
      <c r="E48" s="89">
        <v>12</v>
      </c>
      <c r="F48" s="90">
        <v>10000</v>
      </c>
      <c r="G48" s="90">
        <v>10000</v>
      </c>
      <c r="H48" s="90">
        <v>0</v>
      </c>
      <c r="I48" s="109">
        <v>0.1</v>
      </c>
      <c r="J48" s="109">
        <v>0.04</v>
      </c>
      <c r="K48" s="109">
        <v>0.02</v>
      </c>
      <c r="L48" s="109">
        <v>0</v>
      </c>
      <c r="M48" s="109">
        <f t="shared" si="2"/>
        <v>0.16</v>
      </c>
      <c r="N48" s="113" t="s">
        <v>34</v>
      </c>
      <c r="O48" s="79" t="s">
        <v>308</v>
      </c>
      <c r="P48" s="79" t="s">
        <v>309</v>
      </c>
      <c r="Q48" s="79" t="s">
        <v>310</v>
      </c>
      <c r="R48" s="79" t="s">
        <v>171</v>
      </c>
      <c r="S48" s="79" t="s">
        <v>195</v>
      </c>
      <c r="T48" s="79" t="s">
        <v>71</v>
      </c>
      <c r="U48" s="79" t="s">
        <v>172</v>
      </c>
      <c r="V48" s="79" t="s">
        <v>311</v>
      </c>
      <c r="W48" s="79" t="s">
        <v>198</v>
      </c>
      <c r="X48" s="79" t="s">
        <v>52</v>
      </c>
      <c r="Y48" s="79" t="s">
        <v>52</v>
      </c>
      <c r="Z48" s="79" t="s">
        <v>312</v>
      </c>
      <c r="AA48" s="79" t="s">
        <v>126</v>
      </c>
      <c r="AB48" s="79" t="s">
        <v>223</v>
      </c>
      <c r="AC48" s="79" t="s">
        <v>74</v>
      </c>
      <c r="AD48" s="79" t="s">
        <v>302</v>
      </c>
      <c r="AE48" s="79"/>
      <c r="AF48" s="79" t="s">
        <v>313</v>
      </c>
    </row>
    <row r="49" s="69" customFormat="1" ht="49.5" spans="1:32">
      <c r="A49" s="96">
        <v>4</v>
      </c>
      <c r="B49" s="79" t="s">
        <v>314</v>
      </c>
      <c r="C49" s="88">
        <v>42867</v>
      </c>
      <c r="D49" s="88">
        <v>43231</v>
      </c>
      <c r="E49" s="89">
        <v>12</v>
      </c>
      <c r="F49" s="90">
        <v>10000</v>
      </c>
      <c r="G49" s="90">
        <v>10000</v>
      </c>
      <c r="H49" s="90">
        <v>0</v>
      </c>
      <c r="I49" s="109">
        <v>0.08</v>
      </c>
      <c r="J49" s="109">
        <v>0.075</v>
      </c>
      <c r="K49" s="109">
        <v>0</v>
      </c>
      <c r="L49" s="109">
        <v>0</v>
      </c>
      <c r="M49" s="109">
        <f t="shared" si="2"/>
        <v>0.155</v>
      </c>
      <c r="N49" s="113" t="s">
        <v>34</v>
      </c>
      <c r="O49" s="79" t="s">
        <v>315</v>
      </c>
      <c r="P49" s="79" t="s">
        <v>316</v>
      </c>
      <c r="Q49" s="79" t="s">
        <v>317</v>
      </c>
      <c r="R49" s="79" t="s">
        <v>171</v>
      </c>
      <c r="S49" s="79" t="s">
        <v>39</v>
      </c>
      <c r="T49" s="79" t="s">
        <v>40</v>
      </c>
      <c r="U49" s="79" t="s">
        <v>318</v>
      </c>
      <c r="V49" s="79" t="s">
        <v>319</v>
      </c>
      <c r="W49" s="79" t="s">
        <v>43</v>
      </c>
      <c r="X49" s="79" t="s">
        <v>320</v>
      </c>
      <c r="Y49" s="79" t="s">
        <v>84</v>
      </c>
      <c r="Z49" s="79" t="s">
        <v>321</v>
      </c>
      <c r="AA49" s="79" t="s">
        <v>86</v>
      </c>
      <c r="AB49" s="79" t="s">
        <v>223</v>
      </c>
      <c r="AC49" s="79" t="s">
        <v>74</v>
      </c>
      <c r="AD49" s="79" t="s">
        <v>302</v>
      </c>
      <c r="AE49" s="79"/>
      <c r="AF49" s="79" t="s">
        <v>322</v>
      </c>
    </row>
    <row r="50" s="69" customFormat="1" ht="37.5" spans="1:33">
      <c r="A50" s="96">
        <v>5</v>
      </c>
      <c r="B50" s="79" t="s">
        <v>323</v>
      </c>
      <c r="C50" s="88">
        <v>42872</v>
      </c>
      <c r="D50" s="88">
        <v>43967</v>
      </c>
      <c r="E50" s="89">
        <v>36</v>
      </c>
      <c r="F50" s="90">
        <v>400</v>
      </c>
      <c r="G50" s="90">
        <v>400</v>
      </c>
      <c r="H50" s="90">
        <v>0</v>
      </c>
      <c r="I50" s="109">
        <v>0.14</v>
      </c>
      <c r="J50" s="109">
        <v>0</v>
      </c>
      <c r="K50" s="109">
        <v>0</v>
      </c>
      <c r="L50" s="109">
        <v>0</v>
      </c>
      <c r="M50" s="109">
        <f t="shared" si="2"/>
        <v>0.14</v>
      </c>
      <c r="N50" s="113" t="s">
        <v>34</v>
      </c>
      <c r="O50" s="79" t="s">
        <v>324</v>
      </c>
      <c r="P50" s="79" t="s">
        <v>325</v>
      </c>
      <c r="Q50" s="79" t="s">
        <v>326</v>
      </c>
      <c r="R50" s="79" t="s">
        <v>81</v>
      </c>
      <c r="S50" s="79" t="s">
        <v>39</v>
      </c>
      <c r="T50" s="79" t="s">
        <v>71</v>
      </c>
      <c r="U50" s="79" t="s">
        <v>327</v>
      </c>
      <c r="V50" s="79" t="s">
        <v>328</v>
      </c>
      <c r="W50" s="79" t="s">
        <v>198</v>
      </c>
      <c r="X50" s="79" t="s">
        <v>52</v>
      </c>
      <c r="Y50" s="79" t="s">
        <v>52</v>
      </c>
      <c r="Z50" s="79" t="s">
        <v>45</v>
      </c>
      <c r="AA50" s="79"/>
      <c r="AB50" s="79" t="s">
        <v>46</v>
      </c>
      <c r="AC50" s="79" t="s">
        <v>329</v>
      </c>
      <c r="AD50" s="79" t="s">
        <v>302</v>
      </c>
      <c r="AE50" s="79" t="s">
        <v>128</v>
      </c>
      <c r="AF50" s="79"/>
      <c r="AG50" s="132" t="s">
        <v>330</v>
      </c>
    </row>
    <row r="51" s="69" customFormat="1" ht="61.5" spans="1:32">
      <c r="A51" s="96">
        <v>6</v>
      </c>
      <c r="B51" s="79" t="s">
        <v>331</v>
      </c>
      <c r="C51" s="88">
        <v>42881</v>
      </c>
      <c r="D51" s="88">
        <v>43245</v>
      </c>
      <c r="E51" s="89">
        <v>12</v>
      </c>
      <c r="F51" s="90">
        <v>10000</v>
      </c>
      <c r="G51" s="90">
        <v>2000</v>
      </c>
      <c r="H51" s="90">
        <v>8000</v>
      </c>
      <c r="I51" s="109">
        <v>0.09</v>
      </c>
      <c r="J51" s="109">
        <v>0.01</v>
      </c>
      <c r="K51" s="109">
        <v>0.03</v>
      </c>
      <c r="L51" s="109">
        <v>0</v>
      </c>
      <c r="M51" s="109">
        <f t="shared" si="2"/>
        <v>0.13</v>
      </c>
      <c r="N51" s="113" t="s">
        <v>34</v>
      </c>
      <c r="O51" s="79" t="s">
        <v>332</v>
      </c>
      <c r="P51" s="79" t="s">
        <v>333</v>
      </c>
      <c r="Q51" s="79" t="s">
        <v>334</v>
      </c>
      <c r="R51" s="79" t="s">
        <v>285</v>
      </c>
      <c r="S51" s="79" t="s">
        <v>39</v>
      </c>
      <c r="T51" s="79" t="s">
        <v>40</v>
      </c>
      <c r="U51" s="79" t="s">
        <v>172</v>
      </c>
      <c r="V51" s="79" t="s">
        <v>335</v>
      </c>
      <c r="W51" s="79" t="s">
        <v>43</v>
      </c>
      <c r="X51" s="79" t="s">
        <v>336</v>
      </c>
      <c r="Y51" s="79">
        <v>3231</v>
      </c>
      <c r="Z51" s="79" t="s">
        <v>337</v>
      </c>
      <c r="AA51" s="79" t="s">
        <v>126</v>
      </c>
      <c r="AB51" s="79" t="s">
        <v>223</v>
      </c>
      <c r="AC51" s="79" t="s">
        <v>47</v>
      </c>
      <c r="AD51" s="79" t="s">
        <v>302</v>
      </c>
      <c r="AE51" s="79" t="s">
        <v>128</v>
      </c>
      <c r="AF51" s="79" t="s">
        <v>338</v>
      </c>
    </row>
    <row r="52" ht="37.5" spans="1:33">
      <c r="A52" s="96">
        <v>7</v>
      </c>
      <c r="B52" s="79" t="s">
        <v>339</v>
      </c>
      <c r="C52" s="84">
        <v>42886</v>
      </c>
      <c r="D52" s="84">
        <v>43250</v>
      </c>
      <c r="E52" s="85">
        <v>12</v>
      </c>
      <c r="F52" s="77">
        <v>3000</v>
      </c>
      <c r="G52" s="77">
        <v>3000</v>
      </c>
      <c r="H52" s="77">
        <v>0</v>
      </c>
      <c r="I52" s="106">
        <v>0.12</v>
      </c>
      <c r="J52" s="106">
        <v>0.12</v>
      </c>
      <c r="K52" s="106">
        <v>0</v>
      </c>
      <c r="L52" s="106">
        <v>0</v>
      </c>
      <c r="M52" s="106">
        <f t="shared" si="2"/>
        <v>0.24</v>
      </c>
      <c r="N52" s="115" t="s">
        <v>34</v>
      </c>
      <c r="O52" s="79" t="s">
        <v>162</v>
      </c>
      <c r="P52" s="79" t="s">
        <v>163</v>
      </c>
      <c r="Q52" s="79" t="s">
        <v>164</v>
      </c>
      <c r="R52" s="79" t="s">
        <v>171</v>
      </c>
      <c r="S52" s="79" t="s">
        <v>39</v>
      </c>
      <c r="T52" s="79" t="s">
        <v>71</v>
      </c>
      <c r="U52" s="79" t="s">
        <v>165</v>
      </c>
      <c r="V52" s="79" t="s">
        <v>340</v>
      </c>
      <c r="W52" s="79" t="s">
        <v>43</v>
      </c>
      <c r="X52" s="79" t="s">
        <v>341</v>
      </c>
      <c r="Y52" s="79" t="s">
        <v>276</v>
      </c>
      <c r="Z52" s="79" t="s">
        <v>97</v>
      </c>
      <c r="AA52" s="79" t="s">
        <v>98</v>
      </c>
      <c r="AB52" s="79" t="s">
        <v>46</v>
      </c>
      <c r="AC52" s="79" t="s">
        <v>58</v>
      </c>
      <c r="AD52" s="79" t="s">
        <v>302</v>
      </c>
      <c r="AE52" s="79"/>
      <c r="AF52" s="128" t="s">
        <v>342</v>
      </c>
      <c r="AG52" s="133" t="s">
        <v>343</v>
      </c>
    </row>
    <row r="53" s="69" customFormat="1" ht="61.5" spans="1:32">
      <c r="A53" s="96">
        <v>8</v>
      </c>
      <c r="B53" s="79" t="s">
        <v>344</v>
      </c>
      <c r="C53" s="88">
        <v>42892</v>
      </c>
      <c r="D53" s="88">
        <v>43256</v>
      </c>
      <c r="E53" s="89">
        <v>12</v>
      </c>
      <c r="F53" s="90">
        <v>10000</v>
      </c>
      <c r="G53" s="90">
        <v>10000</v>
      </c>
      <c r="H53" s="90">
        <v>0</v>
      </c>
      <c r="I53" s="109">
        <v>0.09</v>
      </c>
      <c r="J53" s="109">
        <v>0.07</v>
      </c>
      <c r="K53" s="109">
        <v>0</v>
      </c>
      <c r="L53" s="109">
        <v>0</v>
      </c>
      <c r="M53" s="109">
        <f t="shared" si="2"/>
        <v>0.16</v>
      </c>
      <c r="N53" s="113" t="s">
        <v>34</v>
      </c>
      <c r="O53" s="79" t="s">
        <v>308</v>
      </c>
      <c r="P53" s="79" t="s">
        <v>309</v>
      </c>
      <c r="Q53" s="79" t="s">
        <v>310</v>
      </c>
      <c r="R53" s="79" t="s">
        <v>171</v>
      </c>
      <c r="S53" s="79" t="s">
        <v>39</v>
      </c>
      <c r="T53" s="79" t="s">
        <v>71</v>
      </c>
      <c r="U53" s="79" t="s">
        <v>172</v>
      </c>
      <c r="V53" s="79" t="s">
        <v>311</v>
      </c>
      <c r="W53" s="79" t="s">
        <v>198</v>
      </c>
      <c r="X53" s="79" t="s">
        <v>52</v>
      </c>
      <c r="Y53" s="79" t="s">
        <v>199</v>
      </c>
      <c r="Z53" s="79" t="s">
        <v>312</v>
      </c>
      <c r="AA53" s="79" t="s">
        <v>126</v>
      </c>
      <c r="AB53" s="79" t="s">
        <v>223</v>
      </c>
      <c r="AC53" s="79" t="s">
        <v>74</v>
      </c>
      <c r="AD53" s="79" t="s">
        <v>302</v>
      </c>
      <c r="AE53" s="79"/>
      <c r="AF53" s="79" t="s">
        <v>345</v>
      </c>
    </row>
    <row r="54" s="69" customFormat="1" ht="49.5" spans="1:32">
      <c r="A54" s="96">
        <v>9</v>
      </c>
      <c r="B54" s="79" t="s">
        <v>346</v>
      </c>
      <c r="C54" s="88">
        <v>42902</v>
      </c>
      <c r="D54" s="88">
        <v>43266</v>
      </c>
      <c r="E54" s="89">
        <v>12</v>
      </c>
      <c r="F54" s="90">
        <v>15000</v>
      </c>
      <c r="G54" s="90">
        <v>10000</v>
      </c>
      <c r="H54" s="90">
        <v>5000</v>
      </c>
      <c r="I54" s="109">
        <v>0.09</v>
      </c>
      <c r="J54" s="109">
        <v>0.055</v>
      </c>
      <c r="K54" s="109">
        <v>0</v>
      </c>
      <c r="L54" s="109">
        <v>0.1</v>
      </c>
      <c r="M54" s="109">
        <f t="shared" si="2"/>
        <v>0.145</v>
      </c>
      <c r="N54" s="113" t="s">
        <v>34</v>
      </c>
      <c r="O54" s="79" t="s">
        <v>347</v>
      </c>
      <c r="P54" s="79" t="s">
        <v>348</v>
      </c>
      <c r="Q54" s="79" t="s">
        <v>349</v>
      </c>
      <c r="R54" s="79" t="s">
        <v>38</v>
      </c>
      <c r="S54" s="79" t="s">
        <v>39</v>
      </c>
      <c r="T54" s="79" t="s">
        <v>71</v>
      </c>
      <c r="U54" s="79" t="s">
        <v>350</v>
      </c>
      <c r="V54" s="79" t="s">
        <v>351</v>
      </c>
      <c r="W54" s="79" t="s">
        <v>43</v>
      </c>
      <c r="X54" s="79" t="s">
        <v>352</v>
      </c>
      <c r="Y54" s="79" t="s">
        <v>276</v>
      </c>
      <c r="Z54" s="79" t="s">
        <v>47</v>
      </c>
      <c r="AA54" s="79" t="s">
        <v>126</v>
      </c>
      <c r="AB54" s="79" t="s">
        <v>46</v>
      </c>
      <c r="AC54" s="79" t="s">
        <v>47</v>
      </c>
      <c r="AD54" s="79" t="s">
        <v>302</v>
      </c>
      <c r="AE54" s="79"/>
      <c r="AF54" s="79" t="s">
        <v>353</v>
      </c>
    </row>
    <row r="55" ht="37.5" spans="1:33">
      <c r="A55" s="96">
        <v>10</v>
      </c>
      <c r="B55" s="79" t="s">
        <v>354</v>
      </c>
      <c r="C55" s="84">
        <v>42902</v>
      </c>
      <c r="D55" s="84">
        <v>43266</v>
      </c>
      <c r="E55" s="85">
        <v>12</v>
      </c>
      <c r="F55" s="77">
        <v>5000</v>
      </c>
      <c r="G55" s="77">
        <v>3000</v>
      </c>
      <c r="H55" s="77">
        <v>2000</v>
      </c>
      <c r="I55" s="106">
        <v>0.072</v>
      </c>
      <c r="J55" s="106">
        <v>0</v>
      </c>
      <c r="K55" s="106">
        <v>0.078</v>
      </c>
      <c r="L55" s="106">
        <v>0</v>
      </c>
      <c r="M55" s="106">
        <f t="shared" si="2"/>
        <v>0.15</v>
      </c>
      <c r="N55" s="116" t="s">
        <v>34</v>
      </c>
      <c r="O55" s="79" t="s">
        <v>242</v>
      </c>
      <c r="P55" s="79" t="s">
        <v>243</v>
      </c>
      <c r="Q55" s="79" t="s">
        <v>244</v>
      </c>
      <c r="R55" s="79" t="s">
        <v>81</v>
      </c>
      <c r="S55" s="79" t="s">
        <v>195</v>
      </c>
      <c r="T55" s="79" t="s">
        <v>40</v>
      </c>
      <c r="U55" s="79" t="s">
        <v>172</v>
      </c>
      <c r="V55" s="79" t="s">
        <v>245</v>
      </c>
      <c r="W55" s="79" t="s">
        <v>198</v>
      </c>
      <c r="X55" s="79" t="s">
        <v>52</v>
      </c>
      <c r="Y55" s="79" t="s">
        <v>199</v>
      </c>
      <c r="Z55" s="79" t="s">
        <v>246</v>
      </c>
      <c r="AA55" s="79" t="s">
        <v>98</v>
      </c>
      <c r="AB55" s="79" t="s">
        <v>46</v>
      </c>
      <c r="AC55" s="79" t="s">
        <v>58</v>
      </c>
      <c r="AD55" s="79" t="s">
        <v>302</v>
      </c>
      <c r="AE55" s="79" t="s">
        <v>128</v>
      </c>
      <c r="AF55" s="128" t="s">
        <v>355</v>
      </c>
      <c r="AG55" s="133" t="s">
        <v>356</v>
      </c>
    </row>
    <row r="56" s="71" customFormat="1" ht="37.5" spans="1:32">
      <c r="A56" s="97">
        <v>11</v>
      </c>
      <c r="B56" s="98" t="s">
        <v>357</v>
      </c>
      <c r="C56" s="99">
        <v>42902</v>
      </c>
      <c r="D56" s="99">
        <v>42909</v>
      </c>
      <c r="E56" s="100" t="s">
        <v>282</v>
      </c>
      <c r="F56" s="101">
        <v>7000</v>
      </c>
      <c r="G56" s="101">
        <v>7000</v>
      </c>
      <c r="H56" s="101">
        <v>0</v>
      </c>
      <c r="I56" s="117">
        <v>0.072</v>
      </c>
      <c r="J56" s="118">
        <v>0</v>
      </c>
      <c r="K56" s="117">
        <v>0.648</v>
      </c>
      <c r="L56" s="118">
        <v>0</v>
      </c>
      <c r="M56" s="118">
        <f t="shared" si="2"/>
        <v>0.72</v>
      </c>
      <c r="N56" s="119" t="s">
        <v>34</v>
      </c>
      <c r="O56" s="102" t="s">
        <v>358</v>
      </c>
      <c r="P56" s="102" t="s">
        <v>359</v>
      </c>
      <c r="Q56" s="126" t="s">
        <v>360</v>
      </c>
      <c r="R56" s="102" t="s">
        <v>285</v>
      </c>
      <c r="S56" s="102" t="s">
        <v>195</v>
      </c>
      <c r="T56" s="102" t="s">
        <v>40</v>
      </c>
      <c r="U56" s="102" t="s">
        <v>172</v>
      </c>
      <c r="V56" s="98" t="s">
        <v>361</v>
      </c>
      <c r="W56" s="102" t="s">
        <v>198</v>
      </c>
      <c r="X56" s="102" t="s">
        <v>52</v>
      </c>
      <c r="Y56" s="102" t="s">
        <v>52</v>
      </c>
      <c r="Z56" s="102" t="s">
        <v>362</v>
      </c>
      <c r="AA56" s="102" t="s">
        <v>363</v>
      </c>
      <c r="AB56" s="102" t="s">
        <v>46</v>
      </c>
      <c r="AC56" s="102" t="s">
        <v>58</v>
      </c>
      <c r="AD56" s="102" t="s">
        <v>364</v>
      </c>
      <c r="AE56" s="102" t="s">
        <v>128</v>
      </c>
      <c r="AF56" s="131" t="s">
        <v>365</v>
      </c>
    </row>
    <row r="57" ht="61.5" spans="1:32">
      <c r="A57" s="96">
        <v>12</v>
      </c>
      <c r="B57" s="79" t="s">
        <v>366</v>
      </c>
      <c r="C57" s="84">
        <v>42906</v>
      </c>
      <c r="D57" s="84">
        <v>43270</v>
      </c>
      <c r="E57" s="85">
        <v>12</v>
      </c>
      <c r="F57" s="77">
        <v>1000</v>
      </c>
      <c r="G57" s="77">
        <v>1000</v>
      </c>
      <c r="H57" s="77">
        <v>0</v>
      </c>
      <c r="I57" s="106">
        <v>0.09</v>
      </c>
      <c r="J57" s="106">
        <v>0.07</v>
      </c>
      <c r="K57" s="106">
        <v>0</v>
      </c>
      <c r="L57" s="106">
        <v>0</v>
      </c>
      <c r="M57" s="106">
        <f t="shared" si="2"/>
        <v>0.16</v>
      </c>
      <c r="N57" s="115" t="s">
        <v>34</v>
      </c>
      <c r="O57" s="79" t="s">
        <v>367</v>
      </c>
      <c r="P57" s="79" t="s">
        <v>368</v>
      </c>
      <c r="Q57" s="79" t="s">
        <v>369</v>
      </c>
      <c r="R57" s="79" t="s">
        <v>81</v>
      </c>
      <c r="S57" s="79" t="s">
        <v>195</v>
      </c>
      <c r="T57" s="79" t="s">
        <v>71</v>
      </c>
      <c r="U57" s="79" t="s">
        <v>370</v>
      </c>
      <c r="V57" s="79" t="s">
        <v>371</v>
      </c>
      <c r="W57" s="79" t="s">
        <v>198</v>
      </c>
      <c r="X57" s="79" t="s">
        <v>52</v>
      </c>
      <c r="Y57" s="79" t="s">
        <v>199</v>
      </c>
      <c r="Z57" s="79" t="s">
        <v>372</v>
      </c>
      <c r="AA57" s="79" t="s">
        <v>98</v>
      </c>
      <c r="AB57" s="79" t="s">
        <v>223</v>
      </c>
      <c r="AC57" s="79" t="s">
        <v>58</v>
      </c>
      <c r="AD57" s="79" t="s">
        <v>302</v>
      </c>
      <c r="AE57" s="79"/>
      <c r="AF57" s="128" t="s">
        <v>373</v>
      </c>
    </row>
    <row r="58" s="69" customFormat="1" ht="49.5" spans="1:32">
      <c r="A58" s="96">
        <v>13</v>
      </c>
      <c r="B58" s="79" t="s">
        <v>374</v>
      </c>
      <c r="C58" s="88">
        <v>42906</v>
      </c>
      <c r="D58" s="88">
        <v>43088</v>
      </c>
      <c r="E58" s="89">
        <v>6</v>
      </c>
      <c r="F58" s="90">
        <v>10000</v>
      </c>
      <c r="G58" s="90">
        <v>10000</v>
      </c>
      <c r="H58" s="90">
        <v>0</v>
      </c>
      <c r="I58" s="109">
        <v>0.09</v>
      </c>
      <c r="J58" s="109">
        <v>0.04</v>
      </c>
      <c r="K58" s="109">
        <v>0</v>
      </c>
      <c r="L58" s="109">
        <v>0</v>
      </c>
      <c r="M58" s="109">
        <f t="shared" si="2"/>
        <v>0.13</v>
      </c>
      <c r="N58" s="113" t="s">
        <v>34</v>
      </c>
      <c r="O58" s="79" t="s">
        <v>118</v>
      </c>
      <c r="P58" s="79" t="s">
        <v>119</v>
      </c>
      <c r="Q58" s="79" t="s">
        <v>120</v>
      </c>
      <c r="R58" s="79" t="s">
        <v>171</v>
      </c>
      <c r="S58" s="79" t="s">
        <v>39</v>
      </c>
      <c r="T58" s="79" t="s">
        <v>71</v>
      </c>
      <c r="U58" s="79" t="s">
        <v>141</v>
      </c>
      <c r="V58" s="79" t="s">
        <v>375</v>
      </c>
      <c r="W58" s="79" t="s">
        <v>43</v>
      </c>
      <c r="X58" s="79" t="s">
        <v>376</v>
      </c>
      <c r="Y58" s="79" t="s">
        <v>199</v>
      </c>
      <c r="Z58" s="79" t="s">
        <v>377</v>
      </c>
      <c r="AA58" s="79" t="s">
        <v>86</v>
      </c>
      <c r="AB58" s="79" t="s">
        <v>223</v>
      </c>
      <c r="AC58" s="79" t="s">
        <v>74</v>
      </c>
      <c r="AD58" s="79" t="s">
        <v>302</v>
      </c>
      <c r="AE58" s="79" t="s">
        <v>128</v>
      </c>
      <c r="AF58" s="79" t="s">
        <v>378</v>
      </c>
    </row>
    <row r="59" s="69" customFormat="1" ht="37.5" spans="1:32">
      <c r="A59" s="96">
        <v>14</v>
      </c>
      <c r="B59" s="79" t="s">
        <v>379</v>
      </c>
      <c r="C59" s="88">
        <v>42912</v>
      </c>
      <c r="D59" s="88">
        <v>43094</v>
      </c>
      <c r="E59" s="89">
        <v>6</v>
      </c>
      <c r="F59" s="90">
        <v>2000</v>
      </c>
      <c r="G59" s="90">
        <v>2000</v>
      </c>
      <c r="H59" s="90">
        <v>0</v>
      </c>
      <c r="I59" s="109">
        <v>0.09</v>
      </c>
      <c r="J59" s="120">
        <v>0.055</v>
      </c>
      <c r="K59" s="109">
        <v>0</v>
      </c>
      <c r="L59" s="109">
        <v>0</v>
      </c>
      <c r="M59" s="109">
        <f t="shared" si="2"/>
        <v>0.145</v>
      </c>
      <c r="N59" s="113" t="s">
        <v>34</v>
      </c>
      <c r="O59" s="79" t="s">
        <v>380</v>
      </c>
      <c r="P59" s="79" t="s">
        <v>381</v>
      </c>
      <c r="Q59" s="79" t="s">
        <v>382</v>
      </c>
      <c r="R59" s="79" t="s">
        <v>285</v>
      </c>
      <c r="S59" s="79" t="s">
        <v>39</v>
      </c>
      <c r="T59" s="79" t="s">
        <v>40</v>
      </c>
      <c r="U59" s="79" t="s">
        <v>141</v>
      </c>
      <c r="V59" s="79" t="s">
        <v>383</v>
      </c>
      <c r="W59" s="79" t="s">
        <v>43</v>
      </c>
      <c r="X59" s="79" t="s">
        <v>384</v>
      </c>
      <c r="Y59" s="79" t="s">
        <v>199</v>
      </c>
      <c r="Z59" s="79" t="s">
        <v>377</v>
      </c>
      <c r="AA59" s="79" t="s">
        <v>86</v>
      </c>
      <c r="AB59" s="79" t="s">
        <v>46</v>
      </c>
      <c r="AC59" s="79" t="s">
        <v>74</v>
      </c>
      <c r="AD59" s="79" t="s">
        <v>302</v>
      </c>
      <c r="AE59" s="79"/>
      <c r="AF59" s="79" t="s">
        <v>385</v>
      </c>
    </row>
    <row r="60" s="71" customFormat="1" ht="49.5" spans="1:33">
      <c r="A60" s="97">
        <v>15</v>
      </c>
      <c r="B60" s="102" t="s">
        <v>386</v>
      </c>
      <c r="C60" s="99">
        <v>42919</v>
      </c>
      <c r="D60" s="99">
        <v>43283</v>
      </c>
      <c r="E60" s="103">
        <v>12</v>
      </c>
      <c r="F60" s="101">
        <v>5000</v>
      </c>
      <c r="G60" s="101">
        <v>5000</v>
      </c>
      <c r="H60" s="101">
        <v>0</v>
      </c>
      <c r="I60" s="118">
        <v>0.06</v>
      </c>
      <c r="J60" s="118">
        <v>0.09</v>
      </c>
      <c r="K60" s="118">
        <v>0</v>
      </c>
      <c r="L60" s="118">
        <v>0.1</v>
      </c>
      <c r="M60" s="118">
        <f t="shared" si="2"/>
        <v>0.15</v>
      </c>
      <c r="N60" s="121" t="s">
        <v>34</v>
      </c>
      <c r="O60" s="102" t="s">
        <v>387</v>
      </c>
      <c r="P60" s="102" t="s">
        <v>388</v>
      </c>
      <c r="Q60" s="102" t="s">
        <v>389</v>
      </c>
      <c r="R60" s="102" t="s">
        <v>81</v>
      </c>
      <c r="S60" s="102" t="s">
        <v>39</v>
      </c>
      <c r="T60" s="102" t="s">
        <v>40</v>
      </c>
      <c r="U60" s="102" t="s">
        <v>112</v>
      </c>
      <c r="V60" s="102" t="s">
        <v>390</v>
      </c>
      <c r="W60" s="102" t="s">
        <v>198</v>
      </c>
      <c r="X60" s="102" t="s">
        <v>391</v>
      </c>
      <c r="Y60" s="102" t="s">
        <v>199</v>
      </c>
      <c r="Z60" s="102" t="s">
        <v>372</v>
      </c>
      <c r="AA60" s="102" t="s">
        <v>98</v>
      </c>
      <c r="AB60" s="102" t="s">
        <v>223</v>
      </c>
      <c r="AC60" s="102" t="s">
        <v>58</v>
      </c>
      <c r="AD60" s="102" t="s">
        <v>211</v>
      </c>
      <c r="AE60" s="102"/>
      <c r="AF60" s="131" t="s">
        <v>392</v>
      </c>
      <c r="AG60" s="134" t="s">
        <v>393</v>
      </c>
    </row>
    <row r="61" ht="49.5" spans="1:33">
      <c r="A61" s="96">
        <v>16</v>
      </c>
      <c r="B61" s="79" t="s">
        <v>394</v>
      </c>
      <c r="C61" s="84">
        <v>42921</v>
      </c>
      <c r="D61" s="84">
        <v>43285</v>
      </c>
      <c r="E61" s="85">
        <v>12</v>
      </c>
      <c r="F61" s="77">
        <v>5000</v>
      </c>
      <c r="G61" s="77">
        <v>5000</v>
      </c>
      <c r="H61" s="77">
        <v>0</v>
      </c>
      <c r="I61" s="106">
        <v>0.072</v>
      </c>
      <c r="J61" s="106">
        <v>0</v>
      </c>
      <c r="K61" s="106">
        <v>0.078</v>
      </c>
      <c r="L61" s="106">
        <v>0</v>
      </c>
      <c r="M61" s="106">
        <f t="shared" si="2"/>
        <v>0.15</v>
      </c>
      <c r="N61" s="116" t="s">
        <v>34</v>
      </c>
      <c r="O61" s="79" t="s">
        <v>249</v>
      </c>
      <c r="P61" s="79" t="s">
        <v>250</v>
      </c>
      <c r="Q61" s="79" t="s">
        <v>251</v>
      </c>
      <c r="R61" s="79" t="s">
        <v>81</v>
      </c>
      <c r="S61" s="79" t="s">
        <v>195</v>
      </c>
      <c r="T61" s="79" t="s">
        <v>40</v>
      </c>
      <c r="U61" s="79" t="s">
        <v>172</v>
      </c>
      <c r="V61" s="79" t="s">
        <v>245</v>
      </c>
      <c r="W61" s="79" t="s">
        <v>198</v>
      </c>
      <c r="X61" s="79" t="s">
        <v>52</v>
      </c>
      <c r="Y61" s="79" t="s">
        <v>199</v>
      </c>
      <c r="Z61" s="79" t="s">
        <v>246</v>
      </c>
      <c r="AA61" s="79" t="s">
        <v>98</v>
      </c>
      <c r="AB61" s="79" t="s">
        <v>46</v>
      </c>
      <c r="AC61" s="79" t="s">
        <v>58</v>
      </c>
      <c r="AD61" s="79" t="s">
        <v>302</v>
      </c>
      <c r="AE61" s="79"/>
      <c r="AF61" s="128" t="s">
        <v>395</v>
      </c>
      <c r="AG61" s="133" t="s">
        <v>396</v>
      </c>
    </row>
    <row r="62" ht="37.5" spans="1:33">
      <c r="A62" s="96">
        <v>17</v>
      </c>
      <c r="B62" s="79" t="s">
        <v>397</v>
      </c>
      <c r="C62" s="84">
        <v>42922</v>
      </c>
      <c r="D62" s="84">
        <v>43286</v>
      </c>
      <c r="E62" s="85">
        <v>12</v>
      </c>
      <c r="F62" s="77">
        <v>5000</v>
      </c>
      <c r="G62" s="77">
        <v>5000</v>
      </c>
      <c r="H62" s="77">
        <v>0</v>
      </c>
      <c r="I62" s="106">
        <v>0.072</v>
      </c>
      <c r="J62" s="106">
        <v>0</v>
      </c>
      <c r="K62" s="106">
        <v>0.078</v>
      </c>
      <c r="L62" s="106">
        <v>0</v>
      </c>
      <c r="M62" s="106">
        <f t="shared" si="2"/>
        <v>0.15</v>
      </c>
      <c r="N62" s="107" t="s">
        <v>34</v>
      </c>
      <c r="O62" s="79" t="s">
        <v>242</v>
      </c>
      <c r="P62" s="79" t="s">
        <v>243</v>
      </c>
      <c r="Q62" s="79" t="s">
        <v>244</v>
      </c>
      <c r="R62" s="79" t="s">
        <v>81</v>
      </c>
      <c r="S62" s="79" t="s">
        <v>195</v>
      </c>
      <c r="T62" s="79" t="s">
        <v>40</v>
      </c>
      <c r="U62" s="79" t="s">
        <v>172</v>
      </c>
      <c r="V62" s="79" t="s">
        <v>245</v>
      </c>
      <c r="W62" s="79" t="s">
        <v>198</v>
      </c>
      <c r="X62" s="79" t="s">
        <v>52</v>
      </c>
      <c r="Y62" s="79" t="s">
        <v>199</v>
      </c>
      <c r="Z62" s="79" t="s">
        <v>246</v>
      </c>
      <c r="AA62" s="79" t="s">
        <v>98</v>
      </c>
      <c r="AB62" s="79" t="s">
        <v>46</v>
      </c>
      <c r="AC62" s="79" t="s">
        <v>58</v>
      </c>
      <c r="AD62" s="79" t="s">
        <v>302</v>
      </c>
      <c r="AE62" s="79"/>
      <c r="AF62" s="128" t="s">
        <v>398</v>
      </c>
      <c r="AG62" s="133" t="s">
        <v>399</v>
      </c>
    </row>
    <row r="63" s="71" customFormat="1" ht="37.5" spans="1:32">
      <c r="A63" s="97">
        <v>18</v>
      </c>
      <c r="B63" s="102" t="s">
        <v>400</v>
      </c>
      <c r="C63" s="99">
        <v>42930</v>
      </c>
      <c r="D63" s="99">
        <v>43294</v>
      </c>
      <c r="E63" s="103">
        <v>12</v>
      </c>
      <c r="F63" s="101">
        <v>5000</v>
      </c>
      <c r="G63" s="101">
        <v>5000</v>
      </c>
      <c r="H63" s="101">
        <v>0</v>
      </c>
      <c r="I63" s="118">
        <v>0.06</v>
      </c>
      <c r="J63" s="118">
        <v>0.09</v>
      </c>
      <c r="K63" s="118">
        <v>0</v>
      </c>
      <c r="L63" s="118">
        <v>0.1</v>
      </c>
      <c r="M63" s="118">
        <f t="shared" si="2"/>
        <v>0.15</v>
      </c>
      <c r="N63" s="121" t="s">
        <v>34</v>
      </c>
      <c r="O63" s="102" t="s">
        <v>387</v>
      </c>
      <c r="P63" s="102" t="s">
        <v>388</v>
      </c>
      <c r="Q63" s="102" t="s">
        <v>389</v>
      </c>
      <c r="R63" s="102" t="s">
        <v>81</v>
      </c>
      <c r="S63" s="102" t="s">
        <v>39</v>
      </c>
      <c r="T63" s="102" t="s">
        <v>40</v>
      </c>
      <c r="U63" s="102" t="s">
        <v>112</v>
      </c>
      <c r="V63" s="102" t="s">
        <v>390</v>
      </c>
      <c r="W63" s="102" t="s">
        <v>198</v>
      </c>
      <c r="X63" s="102" t="s">
        <v>401</v>
      </c>
      <c r="Y63" s="102" t="s">
        <v>199</v>
      </c>
      <c r="Z63" s="102" t="s">
        <v>372</v>
      </c>
      <c r="AA63" s="102" t="s">
        <v>98</v>
      </c>
      <c r="AB63" s="102" t="s">
        <v>223</v>
      </c>
      <c r="AC63" s="102" t="s">
        <v>58</v>
      </c>
      <c r="AD63" s="102" t="s">
        <v>302</v>
      </c>
      <c r="AE63" s="102"/>
      <c r="AF63" s="131" t="s">
        <v>402</v>
      </c>
    </row>
    <row r="64" ht="37.5" spans="1:34">
      <c r="A64" s="96">
        <v>19</v>
      </c>
      <c r="B64" s="79" t="s">
        <v>403</v>
      </c>
      <c r="C64" s="84">
        <v>42937</v>
      </c>
      <c r="D64" s="84">
        <v>43301</v>
      </c>
      <c r="E64" s="85">
        <v>12</v>
      </c>
      <c r="F64" s="77">
        <v>5000</v>
      </c>
      <c r="G64" s="77">
        <v>5000</v>
      </c>
      <c r="H64" s="77">
        <v>0</v>
      </c>
      <c r="I64" s="106">
        <v>0.09</v>
      </c>
      <c r="J64" s="106">
        <v>0.05</v>
      </c>
      <c r="K64" s="106">
        <v>0</v>
      </c>
      <c r="L64" s="106">
        <v>0</v>
      </c>
      <c r="M64" s="106">
        <f t="shared" si="2"/>
        <v>0.14</v>
      </c>
      <c r="N64" s="107" t="s">
        <v>34</v>
      </c>
      <c r="O64" s="79" t="s">
        <v>404</v>
      </c>
      <c r="P64" s="79" t="s">
        <v>405</v>
      </c>
      <c r="Q64" s="79" t="s">
        <v>406</v>
      </c>
      <c r="R64" s="79" t="s">
        <v>38</v>
      </c>
      <c r="S64" s="79" t="s">
        <v>39</v>
      </c>
      <c r="T64" s="79" t="s">
        <v>71</v>
      </c>
      <c r="U64" s="79" t="s">
        <v>172</v>
      </c>
      <c r="V64" s="79" t="s">
        <v>407</v>
      </c>
      <c r="W64" s="79" t="s">
        <v>43</v>
      </c>
      <c r="X64" s="79" t="s">
        <v>408</v>
      </c>
      <c r="Y64" s="79" t="s">
        <v>276</v>
      </c>
      <c r="Z64" s="79" t="s">
        <v>409</v>
      </c>
      <c r="AA64" s="79" t="s">
        <v>98</v>
      </c>
      <c r="AB64" s="79" t="s">
        <v>223</v>
      </c>
      <c r="AC64" s="79" t="s">
        <v>58</v>
      </c>
      <c r="AD64" s="79" t="s">
        <v>302</v>
      </c>
      <c r="AE64" s="79"/>
      <c r="AF64" s="128" t="s">
        <v>410</v>
      </c>
      <c r="AH64" s="79"/>
    </row>
    <row r="65" s="69" customFormat="1" ht="49.5" spans="1:32">
      <c r="A65" s="96">
        <v>20</v>
      </c>
      <c r="B65" s="79" t="s">
        <v>411</v>
      </c>
      <c r="C65" s="88">
        <v>42943</v>
      </c>
      <c r="D65" s="88">
        <v>43307</v>
      </c>
      <c r="E65" s="89">
        <v>12</v>
      </c>
      <c r="F65" s="90">
        <v>5000</v>
      </c>
      <c r="G65" s="90">
        <v>5000</v>
      </c>
      <c r="H65" s="90">
        <v>0</v>
      </c>
      <c r="I65" s="109">
        <v>0.09</v>
      </c>
      <c r="J65" s="109">
        <v>0.055</v>
      </c>
      <c r="K65" s="109">
        <v>0</v>
      </c>
      <c r="L65" s="109">
        <v>0</v>
      </c>
      <c r="M65" s="109">
        <f t="shared" si="2"/>
        <v>0.145</v>
      </c>
      <c r="N65" s="113" t="s">
        <v>34</v>
      </c>
      <c r="O65" s="79" t="s">
        <v>412</v>
      </c>
      <c r="P65" s="79" t="s">
        <v>413</v>
      </c>
      <c r="Q65" s="79" t="s">
        <v>414</v>
      </c>
      <c r="R65" s="79" t="s">
        <v>171</v>
      </c>
      <c r="S65" s="79" t="s">
        <v>39</v>
      </c>
      <c r="T65" s="79" t="s">
        <v>40</v>
      </c>
      <c r="U65" s="79" t="s">
        <v>172</v>
      </c>
      <c r="V65" s="79" t="s">
        <v>415</v>
      </c>
      <c r="W65" s="79" t="s">
        <v>43</v>
      </c>
      <c r="X65" s="79" t="s">
        <v>416</v>
      </c>
      <c r="Y65" s="79" t="s">
        <v>199</v>
      </c>
      <c r="Z65" s="79" t="s">
        <v>377</v>
      </c>
      <c r="AA65" s="79" t="s">
        <v>86</v>
      </c>
      <c r="AB65" s="79" t="s">
        <v>46</v>
      </c>
      <c r="AC65" s="79" t="s">
        <v>74</v>
      </c>
      <c r="AD65" s="79" t="s">
        <v>302</v>
      </c>
      <c r="AE65" s="79"/>
      <c r="AF65" s="79" t="s">
        <v>417</v>
      </c>
    </row>
    <row r="66" ht="37.5" spans="1:32">
      <c r="A66" s="96">
        <v>21</v>
      </c>
      <c r="B66" s="79" t="s">
        <v>418</v>
      </c>
      <c r="C66" s="84">
        <v>42951</v>
      </c>
      <c r="D66" s="84">
        <v>43315</v>
      </c>
      <c r="E66" s="85">
        <v>12</v>
      </c>
      <c r="F66" s="77">
        <v>5000</v>
      </c>
      <c r="G66" s="77">
        <v>5000</v>
      </c>
      <c r="H66" s="77">
        <v>0</v>
      </c>
      <c r="I66" s="106">
        <v>0.09</v>
      </c>
      <c r="J66" s="106">
        <v>0.05</v>
      </c>
      <c r="K66" s="106">
        <v>0</v>
      </c>
      <c r="L66" s="106">
        <v>0</v>
      </c>
      <c r="M66" s="106">
        <f t="shared" si="2"/>
        <v>0.14</v>
      </c>
      <c r="N66" s="115" t="s">
        <v>34</v>
      </c>
      <c r="O66" s="79" t="s">
        <v>419</v>
      </c>
      <c r="P66" s="79" t="s">
        <v>420</v>
      </c>
      <c r="Q66" s="79" t="s">
        <v>421</v>
      </c>
      <c r="R66" s="79" t="s">
        <v>38</v>
      </c>
      <c r="S66" s="79" t="s">
        <v>39</v>
      </c>
      <c r="T66" s="79" t="s">
        <v>40</v>
      </c>
      <c r="U66" s="79" t="s">
        <v>172</v>
      </c>
      <c r="V66" s="79" t="s">
        <v>407</v>
      </c>
      <c r="W66" s="79" t="s">
        <v>43</v>
      </c>
      <c r="X66" s="79" t="s">
        <v>422</v>
      </c>
      <c r="Y66" s="79" t="s">
        <v>276</v>
      </c>
      <c r="Z66" s="79" t="s">
        <v>409</v>
      </c>
      <c r="AA66" s="79" t="s">
        <v>98</v>
      </c>
      <c r="AB66" s="79" t="s">
        <v>223</v>
      </c>
      <c r="AC66" s="79" t="s">
        <v>58</v>
      </c>
      <c r="AD66" s="79" t="s">
        <v>302</v>
      </c>
      <c r="AE66" s="79"/>
      <c r="AF66" s="128" t="s">
        <v>423</v>
      </c>
    </row>
    <row r="67" s="69" customFormat="1" ht="49.5" spans="1:32">
      <c r="A67" s="96">
        <v>22</v>
      </c>
      <c r="B67" s="79" t="s">
        <v>424</v>
      </c>
      <c r="C67" s="88">
        <v>42956</v>
      </c>
      <c r="D67" s="88">
        <v>43320</v>
      </c>
      <c r="E67" s="89">
        <v>12</v>
      </c>
      <c r="F67" s="90">
        <v>5000</v>
      </c>
      <c r="G67" s="90">
        <v>5000</v>
      </c>
      <c r="H67" s="90">
        <v>0</v>
      </c>
      <c r="I67" s="109">
        <v>0.09</v>
      </c>
      <c r="J67" s="109">
        <v>0.055</v>
      </c>
      <c r="K67" s="109">
        <v>0</v>
      </c>
      <c r="L67" s="109">
        <v>0</v>
      </c>
      <c r="M67" s="109">
        <f t="shared" si="2"/>
        <v>0.145</v>
      </c>
      <c r="N67" s="113" t="s">
        <v>34</v>
      </c>
      <c r="O67" s="79" t="s">
        <v>412</v>
      </c>
      <c r="P67" s="79" t="s">
        <v>413</v>
      </c>
      <c r="Q67" s="79" t="s">
        <v>414</v>
      </c>
      <c r="R67" s="79" t="s">
        <v>171</v>
      </c>
      <c r="S67" s="79" t="s">
        <v>39</v>
      </c>
      <c r="T67" s="79" t="s">
        <v>40</v>
      </c>
      <c r="U67" s="79" t="s">
        <v>172</v>
      </c>
      <c r="V67" s="79" t="s">
        <v>415</v>
      </c>
      <c r="W67" s="79" t="s">
        <v>43</v>
      </c>
      <c r="X67" s="79" t="s">
        <v>416</v>
      </c>
      <c r="Y67" s="79" t="s">
        <v>199</v>
      </c>
      <c r="Z67" s="79" t="s">
        <v>377</v>
      </c>
      <c r="AA67" s="79" t="s">
        <v>86</v>
      </c>
      <c r="AB67" s="79" t="s">
        <v>46</v>
      </c>
      <c r="AC67" s="79" t="s">
        <v>74</v>
      </c>
      <c r="AD67" s="79" t="s">
        <v>302</v>
      </c>
      <c r="AE67" s="79"/>
      <c r="AF67" s="79" t="s">
        <v>417</v>
      </c>
    </row>
    <row r="68" s="71" customFormat="1" ht="37.5" spans="1:32">
      <c r="A68" s="97">
        <v>23</v>
      </c>
      <c r="B68" s="102" t="s">
        <v>425</v>
      </c>
      <c r="C68" s="99">
        <v>42965</v>
      </c>
      <c r="D68" s="99">
        <v>42995</v>
      </c>
      <c r="E68" s="103" t="s">
        <v>426</v>
      </c>
      <c r="F68" s="101">
        <v>3000</v>
      </c>
      <c r="G68" s="101">
        <v>3000</v>
      </c>
      <c r="H68" s="101">
        <v>0</v>
      </c>
      <c r="I68" s="117">
        <v>0.072</v>
      </c>
      <c r="J68" s="118">
        <v>0</v>
      </c>
      <c r="K68" s="118">
        <v>0.288</v>
      </c>
      <c r="L68" s="118">
        <v>0</v>
      </c>
      <c r="M68" s="118">
        <f t="shared" si="2"/>
        <v>0.36</v>
      </c>
      <c r="N68" s="121" t="s">
        <v>34</v>
      </c>
      <c r="O68" s="102" t="s">
        <v>358</v>
      </c>
      <c r="P68" s="102" t="s">
        <v>359</v>
      </c>
      <c r="Q68" s="102" t="s">
        <v>360</v>
      </c>
      <c r="R68" s="102" t="s">
        <v>285</v>
      </c>
      <c r="S68" s="102" t="s">
        <v>195</v>
      </c>
      <c r="T68" s="102" t="s">
        <v>40</v>
      </c>
      <c r="U68" s="102" t="s">
        <v>172</v>
      </c>
      <c r="V68" s="102" t="s">
        <v>427</v>
      </c>
      <c r="W68" s="102" t="s">
        <v>198</v>
      </c>
      <c r="X68" s="102" t="s">
        <v>52</v>
      </c>
      <c r="Y68" s="102" t="s">
        <v>276</v>
      </c>
      <c r="Z68" s="102" t="s">
        <v>362</v>
      </c>
      <c r="AA68" s="102" t="s">
        <v>363</v>
      </c>
      <c r="AB68" s="102" t="s">
        <v>46</v>
      </c>
      <c r="AC68" s="102" t="s">
        <v>58</v>
      </c>
      <c r="AD68" s="102" t="s">
        <v>364</v>
      </c>
      <c r="AE68" s="102"/>
      <c r="AF68" s="131" t="s">
        <v>428</v>
      </c>
    </row>
    <row r="69" s="72" customFormat="1" ht="25.5" spans="1:32">
      <c r="A69" s="97">
        <v>24</v>
      </c>
      <c r="B69" s="102" t="s">
        <v>429</v>
      </c>
      <c r="C69" s="135">
        <v>42986</v>
      </c>
      <c r="D69" s="135">
        <v>43049</v>
      </c>
      <c r="E69" s="136" t="s">
        <v>430</v>
      </c>
      <c r="F69" s="137">
        <v>2000</v>
      </c>
      <c r="G69" s="137">
        <v>2000</v>
      </c>
      <c r="H69" s="137">
        <v>0</v>
      </c>
      <c r="I69" s="139">
        <v>0.24</v>
      </c>
      <c r="J69" s="139">
        <v>0</v>
      </c>
      <c r="K69" s="139">
        <v>0</v>
      </c>
      <c r="L69" s="139">
        <v>0</v>
      </c>
      <c r="M69" s="139">
        <f t="shared" si="2"/>
        <v>0.24</v>
      </c>
      <c r="N69" s="140" t="s">
        <v>34</v>
      </c>
      <c r="O69" s="102" t="s">
        <v>431</v>
      </c>
      <c r="P69" s="102" t="s">
        <v>429</v>
      </c>
      <c r="Q69" s="102" t="s">
        <v>291</v>
      </c>
      <c r="R69" s="102" t="s">
        <v>432</v>
      </c>
      <c r="S69" s="102" t="s">
        <v>195</v>
      </c>
      <c r="T69" s="102" t="s">
        <v>40</v>
      </c>
      <c r="U69" s="102" t="s">
        <v>433</v>
      </c>
      <c r="V69" s="102" t="s">
        <v>434</v>
      </c>
      <c r="W69" s="102" t="s">
        <v>198</v>
      </c>
      <c r="X69" s="102" t="s">
        <v>52</v>
      </c>
      <c r="Y69" s="102" t="s">
        <v>52</v>
      </c>
      <c r="Z69" s="102"/>
      <c r="AA69" s="102"/>
      <c r="AB69" s="102"/>
      <c r="AC69" s="102" t="s">
        <v>74</v>
      </c>
      <c r="AD69" s="102" t="s">
        <v>302</v>
      </c>
      <c r="AE69" s="102"/>
      <c r="AF69" s="102" t="s">
        <v>435</v>
      </c>
    </row>
    <row r="70" s="73" customFormat="1" ht="61.5" spans="1:33">
      <c r="A70" s="96">
        <v>25</v>
      </c>
      <c r="B70" s="79" t="s">
        <v>436</v>
      </c>
      <c r="C70" s="84">
        <v>42998</v>
      </c>
      <c r="D70" s="84">
        <v>43098</v>
      </c>
      <c r="E70" s="85">
        <v>2</v>
      </c>
      <c r="F70" s="77">
        <v>3000</v>
      </c>
      <c r="G70" s="77">
        <v>3000</v>
      </c>
      <c r="H70" s="77">
        <v>0</v>
      </c>
      <c r="I70" s="106">
        <v>0.24</v>
      </c>
      <c r="J70" s="106">
        <v>0</v>
      </c>
      <c r="K70" s="106">
        <v>0</v>
      </c>
      <c r="L70" s="106">
        <v>0</v>
      </c>
      <c r="M70" s="106">
        <f t="shared" si="2"/>
        <v>0.24</v>
      </c>
      <c r="N70" s="107" t="s">
        <v>34</v>
      </c>
      <c r="O70" s="79" t="s">
        <v>437</v>
      </c>
      <c r="P70" s="79" t="s">
        <v>438</v>
      </c>
      <c r="Q70" s="79" t="s">
        <v>360</v>
      </c>
      <c r="R70" s="79" t="s">
        <v>285</v>
      </c>
      <c r="S70" s="79" t="s">
        <v>195</v>
      </c>
      <c r="T70" s="79" t="s">
        <v>40</v>
      </c>
      <c r="U70" s="79" t="s">
        <v>172</v>
      </c>
      <c r="V70" s="79" t="s">
        <v>439</v>
      </c>
      <c r="W70" s="79" t="s">
        <v>198</v>
      </c>
      <c r="X70" s="79" t="s">
        <v>52</v>
      </c>
      <c r="Y70" s="79" t="s">
        <v>52</v>
      </c>
      <c r="Z70" s="79" t="s">
        <v>362</v>
      </c>
      <c r="AA70" s="79" t="s">
        <v>363</v>
      </c>
      <c r="AB70" s="79" t="s">
        <v>46</v>
      </c>
      <c r="AC70" s="79" t="s">
        <v>58</v>
      </c>
      <c r="AD70" s="79" t="s">
        <v>440</v>
      </c>
      <c r="AE70" s="79"/>
      <c r="AF70" s="128" t="s">
        <v>441</v>
      </c>
      <c r="AG70" s="144" t="s">
        <v>442</v>
      </c>
    </row>
    <row r="71" s="73" customFormat="1" ht="56.25" customHeight="1" spans="1:32">
      <c r="A71" s="96">
        <v>26</v>
      </c>
      <c r="B71" s="79" t="s">
        <v>443</v>
      </c>
      <c r="C71" s="84">
        <v>43006</v>
      </c>
      <c r="D71" s="84">
        <v>43370</v>
      </c>
      <c r="E71" s="85">
        <v>12</v>
      </c>
      <c r="F71" s="77">
        <v>5000</v>
      </c>
      <c r="G71" s="77">
        <v>5000</v>
      </c>
      <c r="H71" s="77">
        <v>0</v>
      </c>
      <c r="I71" s="106">
        <v>0.09</v>
      </c>
      <c r="J71" s="106">
        <v>0.05</v>
      </c>
      <c r="K71" s="106">
        <v>0</v>
      </c>
      <c r="L71" s="106">
        <v>0.1</v>
      </c>
      <c r="M71" s="106">
        <f t="shared" si="2"/>
        <v>0.14</v>
      </c>
      <c r="N71" s="50" t="s">
        <v>34</v>
      </c>
      <c r="O71" s="79" t="s">
        <v>444</v>
      </c>
      <c r="P71" s="79" t="s">
        <v>445</v>
      </c>
      <c r="Q71" s="79" t="s">
        <v>446</v>
      </c>
      <c r="R71" s="79" t="s">
        <v>81</v>
      </c>
      <c r="S71" s="79" t="s">
        <v>39</v>
      </c>
      <c r="T71" s="79" t="s">
        <v>40</v>
      </c>
      <c r="U71" s="79" t="s">
        <v>447</v>
      </c>
      <c r="V71" s="143" t="s">
        <v>448</v>
      </c>
      <c r="W71" s="79" t="s">
        <v>43</v>
      </c>
      <c r="X71" s="79" t="s">
        <v>449</v>
      </c>
      <c r="Y71" s="79" t="s">
        <v>199</v>
      </c>
      <c r="Z71" s="79" t="s">
        <v>56</v>
      </c>
      <c r="AA71" s="79" t="s">
        <v>363</v>
      </c>
      <c r="AB71" s="79" t="s">
        <v>46</v>
      </c>
      <c r="AC71" s="79" t="s">
        <v>58</v>
      </c>
      <c r="AD71" s="79" t="s">
        <v>302</v>
      </c>
      <c r="AE71" s="79"/>
      <c r="AF71" s="128" t="s">
        <v>450</v>
      </c>
    </row>
    <row r="72" s="73" customFormat="1" ht="49.5" spans="1:32">
      <c r="A72" s="96">
        <v>27</v>
      </c>
      <c r="B72" s="79" t="s">
        <v>451</v>
      </c>
      <c r="C72" s="84">
        <v>43028</v>
      </c>
      <c r="D72" s="84">
        <v>43392</v>
      </c>
      <c r="E72" s="85">
        <v>12</v>
      </c>
      <c r="F72" s="77">
        <v>10000</v>
      </c>
      <c r="G72" s="77">
        <v>10000</v>
      </c>
      <c r="H72" s="77">
        <v>0</v>
      </c>
      <c r="I72" s="106">
        <v>0.12</v>
      </c>
      <c r="J72" s="106">
        <v>0</v>
      </c>
      <c r="K72" s="106">
        <v>0.1</v>
      </c>
      <c r="L72" s="106">
        <v>0</v>
      </c>
      <c r="M72" s="106">
        <f t="shared" si="2"/>
        <v>0.22</v>
      </c>
      <c r="N72" s="115" t="s">
        <v>34</v>
      </c>
      <c r="O72" s="79" t="s">
        <v>452</v>
      </c>
      <c r="P72" s="79" t="s">
        <v>453</v>
      </c>
      <c r="Q72" s="79" t="s">
        <v>454</v>
      </c>
      <c r="R72" s="79" t="s">
        <v>38</v>
      </c>
      <c r="S72" s="79" t="s">
        <v>39</v>
      </c>
      <c r="T72" s="79" t="s">
        <v>71</v>
      </c>
      <c r="U72" s="79" t="s">
        <v>455</v>
      </c>
      <c r="V72" s="143" t="s">
        <v>456</v>
      </c>
      <c r="W72" s="79" t="s">
        <v>198</v>
      </c>
      <c r="X72" s="79" t="s">
        <v>52</v>
      </c>
      <c r="Y72" s="79" t="s">
        <v>84</v>
      </c>
      <c r="Z72" s="79" t="s">
        <v>74</v>
      </c>
      <c r="AA72" s="79" t="s">
        <v>126</v>
      </c>
      <c r="AB72" s="79" t="s">
        <v>46</v>
      </c>
      <c r="AC72" s="79" t="s">
        <v>457</v>
      </c>
      <c r="AD72" s="79" t="s">
        <v>302</v>
      </c>
      <c r="AE72" s="79"/>
      <c r="AF72" s="128" t="s">
        <v>458</v>
      </c>
    </row>
    <row r="73" s="73" customFormat="1" ht="145.5" spans="1:32">
      <c r="A73" s="96">
        <v>28</v>
      </c>
      <c r="B73" s="79" t="s">
        <v>459</v>
      </c>
      <c r="C73" s="84">
        <v>43032</v>
      </c>
      <c r="D73" s="84">
        <v>43396</v>
      </c>
      <c r="E73" s="85">
        <v>12</v>
      </c>
      <c r="F73" s="77">
        <v>9500</v>
      </c>
      <c r="G73" s="77">
        <v>9500</v>
      </c>
      <c r="H73" s="77">
        <v>0</v>
      </c>
      <c r="I73" s="106">
        <v>0.09</v>
      </c>
      <c r="J73" s="106">
        <v>0.03</v>
      </c>
      <c r="K73" s="106">
        <v>0.03</v>
      </c>
      <c r="L73" s="106">
        <v>0</v>
      </c>
      <c r="M73" s="106">
        <f t="shared" si="2"/>
        <v>0.15</v>
      </c>
      <c r="N73" s="115" t="s">
        <v>34</v>
      </c>
      <c r="O73" s="79" t="s">
        <v>308</v>
      </c>
      <c r="P73" s="79" t="s">
        <v>460</v>
      </c>
      <c r="Q73" s="79" t="s">
        <v>310</v>
      </c>
      <c r="R73" s="79" t="s">
        <v>171</v>
      </c>
      <c r="S73" s="79" t="s">
        <v>39</v>
      </c>
      <c r="T73" s="79" t="s">
        <v>71</v>
      </c>
      <c r="U73" s="79" t="s">
        <v>461</v>
      </c>
      <c r="V73" s="143" t="s">
        <v>462</v>
      </c>
      <c r="W73" s="79" t="s">
        <v>198</v>
      </c>
      <c r="X73" s="79" t="s">
        <v>52</v>
      </c>
      <c r="Y73" s="79" t="s">
        <v>84</v>
      </c>
      <c r="Z73" s="79" t="s">
        <v>312</v>
      </c>
      <c r="AA73" s="79" t="s">
        <v>126</v>
      </c>
      <c r="AB73" s="79" t="s">
        <v>223</v>
      </c>
      <c r="AC73" s="79" t="s">
        <v>74</v>
      </c>
      <c r="AD73" s="79" t="s">
        <v>302</v>
      </c>
      <c r="AE73" s="79"/>
      <c r="AF73" s="128" t="s">
        <v>463</v>
      </c>
    </row>
    <row r="74" s="73" customFormat="1" ht="37.5" spans="1:32">
      <c r="A74" s="96">
        <v>29</v>
      </c>
      <c r="B74" s="79" t="s">
        <v>464</v>
      </c>
      <c r="C74" s="84">
        <v>43055</v>
      </c>
      <c r="D74" s="84">
        <v>43419</v>
      </c>
      <c r="E74" s="85">
        <v>12</v>
      </c>
      <c r="F74" s="77">
        <v>5000</v>
      </c>
      <c r="G74" s="77">
        <v>5000</v>
      </c>
      <c r="H74" s="77">
        <v>0</v>
      </c>
      <c r="I74" s="106">
        <v>0.09</v>
      </c>
      <c r="J74" s="106">
        <v>0.05</v>
      </c>
      <c r="K74" s="106">
        <v>0</v>
      </c>
      <c r="L74" s="106">
        <v>0.1</v>
      </c>
      <c r="M74" s="106">
        <f t="shared" si="2"/>
        <v>0.14</v>
      </c>
      <c r="N74" s="107" t="s">
        <v>34</v>
      </c>
      <c r="O74" s="79" t="s">
        <v>444</v>
      </c>
      <c r="P74" s="79" t="s">
        <v>445</v>
      </c>
      <c r="Q74" s="79" t="s">
        <v>446</v>
      </c>
      <c r="R74" s="79" t="s">
        <v>81</v>
      </c>
      <c r="S74" s="79" t="s">
        <v>39</v>
      </c>
      <c r="T74" s="79" t="s">
        <v>40</v>
      </c>
      <c r="U74" s="79" t="s">
        <v>447</v>
      </c>
      <c r="V74" s="143" t="s">
        <v>448</v>
      </c>
      <c r="W74" s="79" t="s">
        <v>43</v>
      </c>
      <c r="X74" s="79" t="s">
        <v>465</v>
      </c>
      <c r="Y74" s="79" t="s">
        <v>199</v>
      </c>
      <c r="Z74" s="79" t="s">
        <v>56</v>
      </c>
      <c r="AA74" s="79" t="s">
        <v>363</v>
      </c>
      <c r="AB74" s="79" t="s">
        <v>46</v>
      </c>
      <c r="AC74" s="79" t="s">
        <v>58</v>
      </c>
      <c r="AD74" s="79" t="s">
        <v>302</v>
      </c>
      <c r="AE74" s="79"/>
      <c r="AF74" s="128" t="s">
        <v>466</v>
      </c>
    </row>
    <row r="75" s="74" customFormat="1" ht="37.5" spans="1:32">
      <c r="A75" s="97">
        <v>30</v>
      </c>
      <c r="B75" s="102" t="s">
        <v>467</v>
      </c>
      <c r="C75" s="99">
        <v>43059</v>
      </c>
      <c r="D75" s="99">
        <f>C75+45</f>
        <v>43104</v>
      </c>
      <c r="E75" s="103" t="s">
        <v>468</v>
      </c>
      <c r="F75" s="101">
        <v>2500</v>
      </c>
      <c r="G75" s="101">
        <v>2500</v>
      </c>
      <c r="H75" s="101">
        <v>0</v>
      </c>
      <c r="I75" s="118">
        <v>0.14</v>
      </c>
      <c r="J75" s="118">
        <v>0</v>
      </c>
      <c r="K75" s="118">
        <v>0.1</v>
      </c>
      <c r="L75" s="118">
        <v>0</v>
      </c>
      <c r="M75" s="118">
        <f t="shared" si="2"/>
        <v>0.24</v>
      </c>
      <c r="N75" s="141" t="s">
        <v>34</v>
      </c>
      <c r="O75" s="102" t="s">
        <v>469</v>
      </c>
      <c r="P75" s="102" t="s">
        <v>470</v>
      </c>
      <c r="Q75" s="102" t="s">
        <v>471</v>
      </c>
      <c r="R75" s="102" t="s">
        <v>432</v>
      </c>
      <c r="S75" s="102" t="s">
        <v>39</v>
      </c>
      <c r="T75" s="102" t="s">
        <v>71</v>
      </c>
      <c r="U75" s="102" t="s">
        <v>472</v>
      </c>
      <c r="V75" s="102" t="s">
        <v>473</v>
      </c>
      <c r="W75" s="102" t="s">
        <v>52</v>
      </c>
      <c r="X75" s="102" t="s">
        <v>52</v>
      </c>
      <c r="Y75" s="102" t="s">
        <v>84</v>
      </c>
      <c r="Z75" s="102"/>
      <c r="AA75" s="102"/>
      <c r="AB75" s="102" t="s">
        <v>46</v>
      </c>
      <c r="AC75" s="102" t="s">
        <v>74</v>
      </c>
      <c r="AD75" s="102" t="s">
        <v>302</v>
      </c>
      <c r="AE75" s="102"/>
      <c r="AF75" s="131" t="s">
        <v>474</v>
      </c>
    </row>
    <row r="76" s="73" customFormat="1" ht="37.5" spans="1:32">
      <c r="A76" s="96">
        <v>31</v>
      </c>
      <c r="B76" s="79" t="s">
        <v>475</v>
      </c>
      <c r="C76" s="84">
        <v>43059</v>
      </c>
      <c r="D76" s="84">
        <v>43423</v>
      </c>
      <c r="E76" s="85">
        <v>12</v>
      </c>
      <c r="F76" s="77">
        <v>3000</v>
      </c>
      <c r="G76" s="77">
        <f>582.18+200</f>
        <v>782.18</v>
      </c>
      <c r="H76" s="77">
        <v>0</v>
      </c>
      <c r="I76" s="106">
        <v>0.12</v>
      </c>
      <c r="J76" s="106">
        <v>0.02</v>
      </c>
      <c r="K76" s="106">
        <v>0</v>
      </c>
      <c r="L76" s="106">
        <v>0</v>
      </c>
      <c r="M76" s="106">
        <f t="shared" si="2"/>
        <v>0.14</v>
      </c>
      <c r="N76" s="107" t="s">
        <v>34</v>
      </c>
      <c r="O76" s="79" t="s">
        <v>476</v>
      </c>
      <c r="P76" s="79" t="s">
        <v>325</v>
      </c>
      <c r="Q76" s="79" t="s">
        <v>477</v>
      </c>
      <c r="R76" s="79" t="s">
        <v>81</v>
      </c>
      <c r="S76" s="79" t="s">
        <v>39</v>
      </c>
      <c r="T76" s="79" t="s">
        <v>71</v>
      </c>
      <c r="U76" s="79" t="s">
        <v>478</v>
      </c>
      <c r="V76" s="79" t="s">
        <v>479</v>
      </c>
      <c r="W76" s="79" t="s">
        <v>52</v>
      </c>
      <c r="X76" s="79" t="s">
        <v>52</v>
      </c>
      <c r="Y76" s="79" t="s">
        <v>480</v>
      </c>
      <c r="Z76" s="79" t="s">
        <v>362</v>
      </c>
      <c r="AA76" s="79" t="s">
        <v>363</v>
      </c>
      <c r="AB76" s="79" t="s">
        <v>46</v>
      </c>
      <c r="AC76" s="79" t="s">
        <v>74</v>
      </c>
      <c r="AD76" s="79" t="s">
        <v>302</v>
      </c>
      <c r="AE76" s="79"/>
      <c r="AF76" s="128" t="s">
        <v>481</v>
      </c>
    </row>
    <row r="77" ht="85.5" spans="1:33">
      <c r="A77" s="96">
        <v>32</v>
      </c>
      <c r="B77" s="79" t="s">
        <v>482</v>
      </c>
      <c r="C77" s="84" t="s">
        <v>483</v>
      </c>
      <c r="D77" s="84" t="s">
        <v>484</v>
      </c>
      <c r="E77" s="85">
        <v>12</v>
      </c>
      <c r="F77" s="77">
        <v>8000</v>
      </c>
      <c r="G77" s="77">
        <v>4000</v>
      </c>
      <c r="H77" s="77">
        <f>F77-G77</f>
        <v>4000</v>
      </c>
      <c r="I77" s="142">
        <v>0.072</v>
      </c>
      <c r="J77" s="142">
        <v>0.018</v>
      </c>
      <c r="K77" s="142">
        <v>0.075</v>
      </c>
      <c r="L77" s="142">
        <v>0</v>
      </c>
      <c r="M77" s="142">
        <f t="shared" si="2"/>
        <v>0.165</v>
      </c>
      <c r="N77" s="107" t="s">
        <v>34</v>
      </c>
      <c r="O77" s="79" t="s">
        <v>485</v>
      </c>
      <c r="P77" s="79" t="s">
        <v>486</v>
      </c>
      <c r="Q77" s="79" t="s">
        <v>487</v>
      </c>
      <c r="R77" s="79" t="s">
        <v>81</v>
      </c>
      <c r="S77" s="79" t="s">
        <v>39</v>
      </c>
      <c r="T77" s="79" t="s">
        <v>71</v>
      </c>
      <c r="U77" s="79" t="s">
        <v>488</v>
      </c>
      <c r="V77" s="79" t="s">
        <v>489</v>
      </c>
      <c r="W77" s="79" t="s">
        <v>52</v>
      </c>
      <c r="X77" s="79" t="s">
        <v>52</v>
      </c>
      <c r="Y77" s="79" t="s">
        <v>480</v>
      </c>
      <c r="Z77" s="79" t="s">
        <v>490</v>
      </c>
      <c r="AA77" s="79" t="s">
        <v>126</v>
      </c>
      <c r="AB77" s="79" t="s">
        <v>46</v>
      </c>
      <c r="AC77" s="79" t="s">
        <v>58</v>
      </c>
      <c r="AD77" s="79" t="s">
        <v>302</v>
      </c>
      <c r="AE77" s="79"/>
      <c r="AF77" s="128" t="s">
        <v>491</v>
      </c>
      <c r="AG77" s="133" t="s">
        <v>492</v>
      </c>
    </row>
    <row r="78" ht="37.5" spans="1:33">
      <c r="A78" s="96">
        <v>33</v>
      </c>
      <c r="B78" s="79" t="s">
        <v>493</v>
      </c>
      <c r="C78" s="84">
        <v>43068</v>
      </c>
      <c r="D78" s="84">
        <v>43157</v>
      </c>
      <c r="E78" s="85">
        <v>3</v>
      </c>
      <c r="F78" s="77">
        <v>5500</v>
      </c>
      <c r="G78" s="77">
        <v>2000</v>
      </c>
      <c r="H78" s="77">
        <f>F78-G78</f>
        <v>3500</v>
      </c>
      <c r="I78" s="142">
        <v>0.144</v>
      </c>
      <c r="J78" s="142">
        <v>0</v>
      </c>
      <c r="K78" s="142">
        <v>0.216</v>
      </c>
      <c r="L78" s="142">
        <v>0</v>
      </c>
      <c r="M78" s="142">
        <f t="shared" si="2"/>
        <v>0.36</v>
      </c>
      <c r="N78" s="107" t="s">
        <v>34</v>
      </c>
      <c r="O78" s="79" t="s">
        <v>494</v>
      </c>
      <c r="P78" s="79" t="s">
        <v>495</v>
      </c>
      <c r="Q78" s="79" t="s">
        <v>360</v>
      </c>
      <c r="R78" s="79" t="s">
        <v>81</v>
      </c>
      <c r="S78" s="79" t="s">
        <v>39</v>
      </c>
      <c r="T78" s="79" t="s">
        <v>40</v>
      </c>
      <c r="U78" s="79" t="s">
        <v>447</v>
      </c>
      <c r="V78" s="79" t="s">
        <v>496</v>
      </c>
      <c r="W78" s="79" t="s">
        <v>43</v>
      </c>
      <c r="X78" s="79" t="s">
        <v>497</v>
      </c>
      <c r="Y78" s="79" t="s">
        <v>480</v>
      </c>
      <c r="Z78" s="79" t="s">
        <v>498</v>
      </c>
      <c r="AA78" s="79" t="s">
        <v>499</v>
      </c>
      <c r="AB78" s="79" t="s">
        <v>46</v>
      </c>
      <c r="AC78" s="79" t="s">
        <v>58</v>
      </c>
      <c r="AD78" s="79" t="s">
        <v>302</v>
      </c>
      <c r="AE78" s="79"/>
      <c r="AF78" s="128" t="s">
        <v>500</v>
      </c>
      <c r="AG78" s="133" t="s">
        <v>501</v>
      </c>
    </row>
    <row r="79" ht="37.5" spans="1:32">
      <c r="A79" s="96">
        <v>34</v>
      </c>
      <c r="B79" s="79" t="s">
        <v>502</v>
      </c>
      <c r="C79" s="84">
        <v>43090</v>
      </c>
      <c r="D79" s="84">
        <v>43454</v>
      </c>
      <c r="E79" s="85">
        <v>12</v>
      </c>
      <c r="F79" s="77">
        <v>5000</v>
      </c>
      <c r="G79" s="77">
        <v>2000</v>
      </c>
      <c r="H79" s="77">
        <f>F79-G79</f>
        <v>3000</v>
      </c>
      <c r="I79" s="142">
        <v>0.09</v>
      </c>
      <c r="J79" s="142">
        <v>0.045</v>
      </c>
      <c r="K79" s="142">
        <v>0</v>
      </c>
      <c r="L79" s="142">
        <v>0.1</v>
      </c>
      <c r="M79" s="142">
        <f t="shared" si="2"/>
        <v>0.135</v>
      </c>
      <c r="N79" s="107" t="s">
        <v>34</v>
      </c>
      <c r="O79" s="79" t="s">
        <v>78</v>
      </c>
      <c r="P79" s="79" t="s">
        <v>503</v>
      </c>
      <c r="Q79" s="79" t="s">
        <v>504</v>
      </c>
      <c r="R79" s="79" t="s">
        <v>81</v>
      </c>
      <c r="S79" s="79" t="s">
        <v>39</v>
      </c>
      <c r="T79" s="79" t="s">
        <v>71</v>
      </c>
      <c r="U79" s="79" t="s">
        <v>447</v>
      </c>
      <c r="V79" s="79" t="s">
        <v>505</v>
      </c>
      <c r="W79" s="79" t="s">
        <v>198</v>
      </c>
      <c r="X79" s="79" t="s">
        <v>52</v>
      </c>
      <c r="Y79" s="79" t="s">
        <v>84</v>
      </c>
      <c r="Z79" s="79" t="s">
        <v>85</v>
      </c>
      <c r="AA79" s="79" t="s">
        <v>86</v>
      </c>
      <c r="AB79" s="79" t="s">
        <v>46</v>
      </c>
      <c r="AC79" s="79" t="s">
        <v>74</v>
      </c>
      <c r="AD79" s="79" t="s">
        <v>302</v>
      </c>
      <c r="AE79" s="79"/>
      <c r="AF79" s="128" t="s">
        <v>506</v>
      </c>
    </row>
    <row r="80" ht="64.5" customHeight="1" spans="1:33">
      <c r="A80" s="96">
        <v>35</v>
      </c>
      <c r="B80" s="79" t="s">
        <v>507</v>
      </c>
      <c r="C80" s="84">
        <v>43096</v>
      </c>
      <c r="D80" s="84">
        <v>43460</v>
      </c>
      <c r="E80" s="85">
        <v>12</v>
      </c>
      <c r="F80" s="77">
        <v>2000</v>
      </c>
      <c r="G80" s="77">
        <v>2000</v>
      </c>
      <c r="H80" s="77">
        <v>0</v>
      </c>
      <c r="I80" s="142">
        <v>0.12</v>
      </c>
      <c r="J80" s="142">
        <v>0</v>
      </c>
      <c r="K80" s="142">
        <v>0.24</v>
      </c>
      <c r="L80" s="142">
        <v>0</v>
      </c>
      <c r="M80" s="142">
        <f t="shared" si="2"/>
        <v>0.36</v>
      </c>
      <c r="N80" s="107" t="s">
        <v>34</v>
      </c>
      <c r="O80" s="79" t="s">
        <v>508</v>
      </c>
      <c r="P80" s="79" t="s">
        <v>412</v>
      </c>
      <c r="Q80" s="79" t="s">
        <v>360</v>
      </c>
      <c r="R80" s="79" t="s">
        <v>81</v>
      </c>
      <c r="S80" s="79" t="s">
        <v>39</v>
      </c>
      <c r="T80" s="79" t="s">
        <v>40</v>
      </c>
      <c r="U80" s="79" t="s">
        <v>447</v>
      </c>
      <c r="V80" s="79" t="s">
        <v>509</v>
      </c>
      <c r="W80" s="79" t="s">
        <v>198</v>
      </c>
      <c r="X80" s="79" t="s">
        <v>52</v>
      </c>
      <c r="Y80" s="79"/>
      <c r="Z80" s="79" t="s">
        <v>377</v>
      </c>
      <c r="AA80" s="79" t="s">
        <v>86</v>
      </c>
      <c r="AB80" s="79" t="s">
        <v>46</v>
      </c>
      <c r="AC80" s="79" t="s">
        <v>329</v>
      </c>
      <c r="AD80" s="79" t="s">
        <v>302</v>
      </c>
      <c r="AE80" s="79"/>
      <c r="AF80" s="128" t="s">
        <v>510</v>
      </c>
      <c r="AG80" s="75" t="s">
        <v>511</v>
      </c>
    </row>
    <row r="81" ht="15"/>
    <row r="82" ht="15"/>
    <row r="83" ht="15"/>
    <row r="84" ht="15"/>
    <row r="85" ht="15"/>
    <row r="86" ht="15"/>
    <row r="87" ht="15" spans="3:4">
      <c r="C87" s="138"/>
      <c r="D87" s="138"/>
    </row>
    <row r="88" ht="15"/>
    <row r="89" ht="15"/>
    <row r="90" ht="15"/>
    <row r="91" ht="15"/>
    <row r="92" ht="15"/>
    <row r="93" ht="15"/>
    <row r="94" ht="15"/>
  </sheetData>
  <autoFilter ref="A1:AF80"/>
  <sortState ref="A2:AE90">
    <sortCondition ref="C1"/>
  </sortState>
  <mergeCells count="1">
    <mergeCell ref="A45:B45"/>
  </mergeCells>
  <hyperlinks>
    <hyperlink ref="N30" location="天业2期!A1" display="click"/>
    <hyperlink ref="N49" location="长城集团!A1" display="click"/>
    <hyperlink ref="N48" location="猛狮科技!A1" display="click"/>
    <hyperlink ref="N50" location="驿家短租公寓!A1" display="click"/>
    <hyperlink ref="N51" location="沃泰通!A1" display="click"/>
    <hyperlink ref="N52" location="中麦4期!A1" display="click"/>
    <hyperlink ref="N14" location="九兴能源!A1" display="click"/>
    <hyperlink ref="N47" location="升达5期!A1" display="click"/>
    <hyperlink ref="N46" location="升达4期!A1" display="click"/>
    <hyperlink ref="N53" location="猛狮2期!A1" display="click"/>
    <hyperlink ref="N58" location="中孚5期!A1" display="click"/>
    <hyperlink ref="N57" location="山水环境!A1" display="click"/>
    <hyperlink ref="N55" location="天成2期长征电气1!A1" display="click"/>
    <hyperlink ref="N54" location="升达6期!A1" display="click"/>
    <hyperlink ref="N59" location="宏达矿业!A1" display="click"/>
    <hyperlink ref="N60" location="融钰1期!A1" display="click"/>
    <hyperlink ref="N61" location="天成2期银河开关!A1" display="click"/>
    <hyperlink ref="N62" location="天成2期长征电气2!A1" display="click"/>
    <hyperlink ref="N63" location="融钰2期!A1" display="click"/>
    <hyperlink ref="N64" location="格洛斯金盾1期!A1" display="click"/>
    <hyperlink ref="N65" location="尤夫1期!A1" display="click"/>
    <hyperlink ref="N67" location="尤夫2期!A1" display="click"/>
    <hyperlink ref="N66" location="金盾2期!A1" display="click"/>
    <hyperlink ref="N68" location="天成4期!A1" display="click"/>
    <hyperlink ref="N69" location="前海圆舟!A1" display="click"/>
    <hyperlink ref="N72" location="恒润华创!A1" display="click"/>
    <hyperlink ref="N73" location="猛狮3期!A1" display="click"/>
    <hyperlink ref="N56" location="天成3期!A1" display="click"/>
    <hyperlink ref="N74" location="汇源2期!A1" display="click"/>
    <hyperlink ref="N75" location="康必得短借!A1" display="click"/>
    <hyperlink ref="N76" location="驿家2期!A1" display="click"/>
    <hyperlink ref="N70" location="天成5期!A1" display="click"/>
    <hyperlink ref="N71" location="汇源1期!A1" display="click"/>
    <hyperlink ref="N2" location="升达1期!A1" display="click"/>
    <hyperlink ref="N4" location="升达2期!A1" display="click"/>
    <hyperlink ref="N5" location="旗帜4期!A1" display="click"/>
    <hyperlink ref="N6" location="乐语5期!A1" display="click"/>
    <hyperlink ref="N7" location="升达3期!A1" display="click"/>
    <hyperlink ref="N8" location="龙力生物!A1" display="click"/>
    <hyperlink ref="N9" location="鼎立控股!A1" display="click"/>
    <hyperlink ref="N10" location="冠福1期!A1" display="click"/>
    <hyperlink ref="N12" location="旗帜5期!A1" display="click"/>
    <hyperlink ref="N11" location="中孚1期!A1" display="click"/>
    <hyperlink ref="N13" location="汇高商贸!A1" display="click"/>
    <hyperlink ref="N16" location="德莱顿!A1" display="click"/>
    <hyperlink ref="N17" location="中麦信通!A1" display="click"/>
    <hyperlink ref="N18" location="中孚2期!A1" display="click"/>
    <hyperlink ref="N19" location="乐语6期!A1" display="click"/>
    <hyperlink ref="N20" location="乐语7期!A1" display="click"/>
    <hyperlink ref="N21" location="天翔1期!A1" display="click"/>
    <hyperlink ref="N22" location="天翔2期!A1" display="click"/>
    <hyperlink ref="N23" location="中孚3期!A1" display="click"/>
    <hyperlink ref="N24" location="中昌航道!A1" display="click"/>
    <hyperlink ref="N25" location="乐语8期!A1" display="click"/>
    <hyperlink ref="N26" location="盛运1期!A1" display="click"/>
    <hyperlink ref="N27" location="盛运2期!A1" display="click"/>
    <hyperlink ref="N28" location="乐语9期!A1" display="click"/>
    <hyperlink ref="N29" location="盛运3期!A1" display="click"/>
    <hyperlink ref="N31" location="盛运4期!A1" display="click"/>
    <hyperlink ref="N32" location="盛运5期!A1" display="click"/>
    <hyperlink ref="N33" location="中孚4期!A1" display="click"/>
    <hyperlink ref="N34" location="天翔3期!A1" display="click"/>
    <hyperlink ref="N35" location="'天成控股（长征电气）'!A1" display="click"/>
    <hyperlink ref="N36" location="'天成控股（银河开关）'!A1" display="click"/>
    <hyperlink ref="N40" location="中麦3期!A1" display="click"/>
    <hyperlink ref="N41" location="中昌2期!A1" display="click"/>
    <hyperlink ref="N37" location="天业3期!A1" display="click"/>
    <hyperlink ref="N38" location="亿阳3期!A1" display="click"/>
    <hyperlink ref="N39" location="中麦2期!A1" display="click"/>
    <hyperlink ref="N42" location="华英4期!A1" display="click"/>
    <hyperlink ref="N43" location="永泰控股!A1" display="click"/>
    <hyperlink ref="N77" location="捷夫珠宝!A1" display="click"/>
    <hyperlink ref="N78" location="西藏发展!A1" display="click"/>
    <hyperlink ref="N79" location="乐语12期!A1" display="click"/>
    <hyperlink ref="N80" location="尤夫短拆!A1" display="click"/>
  </hyperlinks>
  <pageMargins left="0.699305555555556" right="0.699305555555556" top="0.75" bottom="0.75" header="0.3" footer="0.3"/>
  <pageSetup paperSize="9" orientation="portrait"/>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P50"/>
  <sheetViews>
    <sheetView tabSelected="1" workbookViewId="0">
      <pane xSplit="2" ySplit="2" topLeftCell="H9" activePane="bottomRight" state="frozen"/>
      <selection/>
      <selection pane="topRight"/>
      <selection pane="bottomLeft"/>
      <selection pane="bottomRight" activeCell="B3" sqref="B3"/>
    </sheetView>
  </sheetViews>
  <sheetFormatPr defaultColWidth="9" defaultRowHeight="13.5"/>
  <cols>
    <col min="1" max="1" width="13" style="38" customWidth="1"/>
    <col min="2" max="2" width="23.25" style="38" customWidth="1"/>
    <col min="3" max="3" width="20.5" style="38" customWidth="1"/>
    <col min="4" max="4" width="12.25" style="47" customWidth="1"/>
    <col min="5" max="5" width="20.5" style="47" customWidth="1"/>
    <col min="6" max="7" width="17.25" style="48" customWidth="1"/>
    <col min="8" max="8" width="16.125" style="48" customWidth="1"/>
    <col min="9" max="9" width="17.25" style="48" customWidth="1"/>
    <col min="10" max="10" width="16.125" style="38" customWidth="1"/>
    <col min="11" max="12" width="17.25" style="38" customWidth="1"/>
    <col min="13" max="14" width="17.25" customWidth="1"/>
    <col min="15" max="15" width="16.125" customWidth="1"/>
    <col min="16" max="16" width="20.5" customWidth="1"/>
  </cols>
  <sheetData>
    <row r="1" ht="51.75" customHeight="1" spans="1:16">
      <c r="A1" s="49" t="s">
        <v>512</v>
      </c>
      <c r="B1" s="49"/>
      <c r="C1" s="49"/>
      <c r="D1" s="49"/>
      <c r="E1" s="49"/>
      <c r="F1" s="49"/>
      <c r="G1" s="49"/>
      <c r="H1" s="49"/>
      <c r="I1" s="49"/>
      <c r="J1" s="49"/>
      <c r="K1" s="49"/>
      <c r="L1" s="49"/>
      <c r="M1" s="49"/>
      <c r="N1" s="49"/>
      <c r="O1" s="49"/>
      <c r="P1" s="49"/>
    </row>
    <row r="2" ht="27" customHeight="1" spans="1:16">
      <c r="A2" s="38" t="s">
        <v>0</v>
      </c>
      <c r="B2" s="38" t="s">
        <v>1</v>
      </c>
      <c r="C2" s="38" t="s">
        <v>2</v>
      </c>
      <c r="D2" s="47" t="s">
        <v>3</v>
      </c>
      <c r="E2" s="47" t="s">
        <v>6</v>
      </c>
      <c r="F2" s="48" t="s">
        <v>513</v>
      </c>
      <c r="G2" s="48" t="s">
        <v>514</v>
      </c>
      <c r="H2" s="48" t="s">
        <v>515</v>
      </c>
      <c r="I2" s="48" t="s">
        <v>516</v>
      </c>
      <c r="J2" s="48" t="s">
        <v>517</v>
      </c>
      <c r="K2" s="48" t="s">
        <v>518</v>
      </c>
      <c r="L2" s="48" t="s">
        <v>519</v>
      </c>
      <c r="M2" s="48" t="s">
        <v>520</v>
      </c>
      <c r="N2" s="48" t="s">
        <v>521</v>
      </c>
      <c r="O2" s="65" t="s">
        <v>522</v>
      </c>
      <c r="P2" s="48" t="s">
        <v>523</v>
      </c>
    </row>
    <row r="3" customHeight="1" spans="1:16">
      <c r="A3" s="38">
        <v>1</v>
      </c>
      <c r="B3" s="50" t="str">
        <f>总表!B46</f>
        <v>升达4期</v>
      </c>
      <c r="C3" s="51">
        <f>总表!C46</f>
        <v>42740</v>
      </c>
      <c r="D3" s="52">
        <f>总表!D46</f>
        <v>43104</v>
      </c>
      <c r="E3" s="47">
        <f>LOOKUP(9E+307,升达4期!C:C)</f>
        <v>50000000</v>
      </c>
      <c r="F3" s="47">
        <f>LOOKUP(9E+307,升达4期!D:D)</f>
        <v>10000000</v>
      </c>
      <c r="G3" s="53">
        <f>IF($D3-$C3&lt;=29,$E3*总表!I46/12,IF(30&lt;=$D3-$C3&lt;=89,$E3*总表!I46/4,IF(90&lt;=$D3-$C3&lt;=182,$E3*总表!I46/2,$E3*总表!I46)))</f>
        <v>4500000</v>
      </c>
      <c r="H3" s="48">
        <f>LOOKUP(9E+307,升达4期!E:E)</f>
        <v>4500000</v>
      </c>
      <c r="I3" s="53">
        <f>IF($D3-$C3&lt;=30,$E3*总表!J46/12,IF(30&lt;$D3-$C3&lt;=90,$E3*总表!J46/4,IF(90&lt;$D3-$C3&lt;=182,$E3*总表!J46/2,$E3*总表!J46)))</f>
        <v>1500000</v>
      </c>
      <c r="J3" s="48">
        <f>LOOKUP(9E+307,升达4期!F:F)</f>
        <v>1500000</v>
      </c>
      <c r="K3" s="53">
        <f>IF($D3-$C3&lt;=29,$E3*总表!K46/12,IF(30&lt;=$D3-$C3&lt;=89,$E3*总表!K46/4,IF(90&lt;=$D3-$C3&lt;=182,$E3*总表!K46/2,$E3*总表!K46)))</f>
        <v>2000000</v>
      </c>
      <c r="L3" s="48">
        <f>LOOKUP(9E+307,升达4期!G:G)</f>
        <v>2000000</v>
      </c>
      <c r="M3" s="54">
        <f>IF($D3-$C3&lt;=29,$E3*总表!L46/12,IF(30&lt;=$D3-$C3&lt;=89,$E3*总表!L46/4,IF(90&lt;=$D3-$C3&lt;=182,$E3*总表!L46/2,$E3*总表!L46)))</f>
        <v>2500000</v>
      </c>
      <c r="N3" s="54">
        <f>LOOKUP(9E+307,升达4期!H:H)</f>
        <v>2500000</v>
      </c>
      <c r="O3" s="54">
        <f>LOOKUP(9E+307,升达4期!I:I)</f>
        <v>0</v>
      </c>
      <c r="P3" s="54">
        <f t="shared" ref="P3:P37" si="0">E3+G3+I3+K3+M3-F3-H3-J3-L3-N3+O3</f>
        <v>40000000</v>
      </c>
    </row>
    <row r="4" spans="1:16">
      <c r="A4" s="38">
        <v>2</v>
      </c>
      <c r="B4" s="50" t="str">
        <f>总表!B47</f>
        <v>升达5期</v>
      </c>
      <c r="C4" s="51">
        <f>总表!C47</f>
        <v>42814</v>
      </c>
      <c r="D4" s="52">
        <f>总表!D47</f>
        <v>43178</v>
      </c>
      <c r="E4" s="47">
        <f>LOOKUP(9E+307,升达5期!C:C)</f>
        <v>60000000</v>
      </c>
      <c r="F4" s="54">
        <f>LOOKUP(9E+307,升达5期!D:D)</f>
        <v>0</v>
      </c>
      <c r="G4" s="53">
        <f>IF($D4-$C4&lt;=29,$E4*总表!I47/12,IF(30&lt;=$D4-$C4&lt;=89,$E4*总表!I47/4,IF(90&lt;=$D4-$C4&lt;=182,$E4*总表!I47/2,$E4*总表!I47)))</f>
        <v>7200000</v>
      </c>
      <c r="H4" s="48">
        <f>LOOKUP(9E+307,升达5期!E:E)</f>
        <v>7200000</v>
      </c>
      <c r="I4" s="53">
        <f>IF($D4-$C4&lt;=30,$E4*总表!J47/12,IF(30&lt;$D4-$C4&lt;=90,$E4*总表!J47/4,IF(90&lt;$D4-$C4&lt;=182,$E4*总表!J47/2,$E4*总表!J47)))</f>
        <v>1800000</v>
      </c>
      <c r="J4" s="53">
        <f>LOOKUP(9E+307,升达5期!F:F)</f>
        <v>1800000</v>
      </c>
      <c r="K4" s="53">
        <f>IF($D4-$C4&lt;=29,$E4*总表!K47/12,IF(30&lt;=$D4-$C4&lt;=89,$E4*总表!K47/4,IF(90&lt;=$D4-$C4&lt;=182,$E4*总表!K47/2,$E4*总表!K47)))</f>
        <v>0</v>
      </c>
      <c r="L4" s="53">
        <f>LOOKUP(9E+307,升达5期!G:G)</f>
        <v>0</v>
      </c>
      <c r="M4" s="54">
        <f>IF($D4-$C4&lt;=29,$E4*总表!L47/12,IF(30&lt;=$D4-$C4&lt;=89,$E4*总表!L47/4,IF(90&lt;=$D4-$C4&lt;=182,$E4*总表!L47/2,$E4*总表!L47)))</f>
        <v>6000000</v>
      </c>
      <c r="N4" s="54">
        <f>LOOKUP(9E+307,升达5期!H:H)</f>
        <v>6000000</v>
      </c>
      <c r="O4" s="54">
        <f>LOOKUP(9E+307,升达5期!I:I)</f>
        <v>0</v>
      </c>
      <c r="P4" s="54">
        <f t="shared" si="0"/>
        <v>60000000</v>
      </c>
    </row>
    <row r="5" spans="1:16">
      <c r="A5" s="38">
        <v>3</v>
      </c>
      <c r="B5" s="50" t="str">
        <f>总表!B48</f>
        <v>猛狮科技</v>
      </c>
      <c r="C5" s="51">
        <f>总表!C48</f>
        <v>42846</v>
      </c>
      <c r="D5" s="52">
        <f>总表!D48</f>
        <v>43210</v>
      </c>
      <c r="E5" s="47">
        <f ca="1">LOOKUP(9E+307,猛狮科技!C:C)</f>
        <v>100000000</v>
      </c>
      <c r="F5" s="54">
        <f>LOOKUP(9E+307,猛狮科技!D:D)</f>
        <v>0</v>
      </c>
      <c r="G5" s="53">
        <f ca="1">IF($D5-$C5&lt;=29,$E5*总表!I48/12,IF(30&lt;=$D5-$C5&lt;=89,$E5*总表!I48/4,IF(90&lt;=$D5-$C5&lt;=182,$E5*总表!I48/2,$E5*总表!I48)))</f>
        <v>10000000</v>
      </c>
      <c r="H5" s="53">
        <f>LOOKUP(9E+307,猛狮科技!E:E)</f>
        <v>5000000</v>
      </c>
      <c r="I5" s="53">
        <f ca="1">IF($D5-$C5&lt;=30,$E5*总表!J48/12,IF(30&lt;$D5-$C5&lt;=90,$E5*总表!J48/4,IF(90&lt;$D5-$C5&lt;=182,$E5*总表!J48/2,$E5*总表!J48)))</f>
        <v>4000000</v>
      </c>
      <c r="J5" s="53">
        <f>LOOKUP(9E+307,猛狮科技!F:F)</f>
        <v>4000000</v>
      </c>
      <c r="K5" s="53">
        <f ca="1">IF($D5-$C5&lt;=29,$E5*总表!K48/12,IF(30&lt;=$D5-$C5&lt;=89,$E5*总表!K48/4,IF(90&lt;=$D5-$C5&lt;=182,$E5*总表!K48/2,$E5*总表!K48)))</f>
        <v>2000000</v>
      </c>
      <c r="L5" s="53">
        <f>LOOKUP(9E+307,猛狮科技!G:G)</f>
        <v>2000000</v>
      </c>
      <c r="M5" s="54">
        <f ca="1">IF($D5-$C5&lt;=29,$E5*总表!L48/12,IF(30&lt;=$D5-$C5&lt;=89,$E5*总表!L48/4,IF(90&lt;=$D5-$C5&lt;=182,$E5*总表!L48/2,$E5*总表!L48)))</f>
        <v>0</v>
      </c>
      <c r="N5" s="54">
        <f>LOOKUP(9E+307,猛狮科技!H:H)</f>
        <v>0</v>
      </c>
      <c r="O5" s="54">
        <f>LOOKUP(9E+307,猛狮科技!I:I)</f>
        <v>0</v>
      </c>
      <c r="P5" s="54">
        <f ca="1" t="shared" si="0"/>
        <v>105000000</v>
      </c>
    </row>
    <row r="6" spans="1:16">
      <c r="A6" s="38">
        <v>4</v>
      </c>
      <c r="B6" s="50" t="str">
        <f>总表!B49</f>
        <v>长城集团</v>
      </c>
      <c r="C6" s="51">
        <f>总表!C49</f>
        <v>42867</v>
      </c>
      <c r="D6" s="52">
        <f>总表!D49</f>
        <v>43231</v>
      </c>
      <c r="E6" s="47">
        <f>LOOKUP(9E+307,长城集团!C:C)</f>
        <v>100000000</v>
      </c>
      <c r="F6" s="54">
        <f>LOOKUP(9E+307,长城集团!D:D)</f>
        <v>0</v>
      </c>
      <c r="G6" s="53">
        <f>IF($D6-$C6&lt;=29,$E6*总表!I49/12,IF(30&lt;=$D6-$C6&lt;=89,$E6*总表!I49/4,IF(90&lt;=$D6-$C6&lt;=182,$E6*总表!I49/2,$E6*总表!I49)))</f>
        <v>8000000</v>
      </c>
      <c r="H6" s="53">
        <f>LOOKUP(9E+307,长城集团!E:E)</f>
        <v>4000000</v>
      </c>
      <c r="I6" s="53">
        <f>IF($D6-$C6&lt;=30,$E6*总表!J49/12,IF(30&lt;$D6-$C6&lt;=90,$E6*总表!J49/4,IF(90&lt;$D6-$C6&lt;=182,$E6*总表!J49/2,$E6*总表!J49)))</f>
        <v>7500000</v>
      </c>
      <c r="J6" s="53">
        <f>LOOKUP(9E+307,长城集团!F:F)</f>
        <v>7500000</v>
      </c>
      <c r="K6" s="53">
        <f>IF($D6-$C6&lt;=29,$E6*总表!K49/12,IF(30&lt;=$D6-$C6&lt;=89,$E6*总表!K49/4,IF(90&lt;=$D6-$C6&lt;=182,$E6*总表!K49/2,$E6*总表!K49)))</f>
        <v>0</v>
      </c>
      <c r="L6" s="53">
        <f>LOOKUP(9E+307,长城集团!G:G)</f>
        <v>0</v>
      </c>
      <c r="M6" s="54">
        <f>IF($D6-$C6&lt;=29,$E6*总表!L49/12,IF(30&lt;=$D6-$C6&lt;=89,$E6*总表!L49/4,IF(90&lt;=$D6-$C6&lt;=182,$E6*总表!L49/2,$E6*总表!L49)))</f>
        <v>0</v>
      </c>
      <c r="N6" s="54">
        <f>LOOKUP(9E+307,冠福1期!H:H)</f>
        <v>0</v>
      </c>
      <c r="O6" s="54">
        <f>LOOKUP(9E+307,长城集团!I:I)</f>
        <v>0</v>
      </c>
      <c r="P6" s="54">
        <f t="shared" si="0"/>
        <v>104000000</v>
      </c>
    </row>
    <row r="7" spans="1:16">
      <c r="A7" s="38">
        <v>5</v>
      </c>
      <c r="B7" s="50" t="str">
        <f>总表!B50</f>
        <v>驿家短租公寓</v>
      </c>
      <c r="C7" s="51">
        <f>总表!C50</f>
        <v>42872</v>
      </c>
      <c r="D7" s="52">
        <f>总表!D50</f>
        <v>43967</v>
      </c>
      <c r="E7" s="47">
        <f>LOOKUP(9E+307,驿家短租公寓!C:C)</f>
        <v>4000000</v>
      </c>
      <c r="F7" s="54">
        <f>LOOKUP(9E+307,驿家短租公寓!D:D)</f>
        <v>0</v>
      </c>
      <c r="G7" s="53">
        <f>473333*36</f>
        <v>17039988</v>
      </c>
      <c r="H7" s="53">
        <f>LOOKUP(9E+307,驿家短租公寓!E:E)</f>
        <v>1077222.22</v>
      </c>
      <c r="I7" s="53">
        <f>IF($D7-$C7&lt;=30,$E7*总表!J50/12,IF(30&lt;$D7-$C7&lt;=90,$E7*总表!J50/4,IF(90&lt;$D7-$C7&lt;=182,$E7*总表!J50/2,$E7*总表!J50)))</f>
        <v>0</v>
      </c>
      <c r="J7" s="53">
        <f>LOOKUP(9E+307,驿家短租公寓!F:F)</f>
        <v>0</v>
      </c>
      <c r="K7" s="53">
        <f>IF($D7-$C7&lt;=29,$E7*总表!K50/12,IF(30&lt;=$D7-$C7&lt;=89,$E7*总表!K50/4,IF(90&lt;=$D7-$C7&lt;=182,$E7*总表!K50/2,$E7*总表!K50)))</f>
        <v>0</v>
      </c>
      <c r="L7" s="53">
        <f>LOOKUP(9E+307,驿家短租公寓!G:G)</f>
        <v>0</v>
      </c>
      <c r="M7" s="54">
        <f>IF($D7-$C7&lt;=29,$E7*总表!L50/12,IF(30&lt;=$D7-$C7&lt;=89,$E7*总表!L50/4,IF(90&lt;=$D7-$C7&lt;=182,$E7*总表!L50/2,$E7*总表!L50)))</f>
        <v>0</v>
      </c>
      <c r="N7" s="54">
        <f>LOOKUP(9E+307,驿家短租公寓!H:H)</f>
        <v>0</v>
      </c>
      <c r="O7" s="54">
        <f>LOOKUP(9E+307,驿家短租公寓!I:I)</f>
        <v>0</v>
      </c>
      <c r="P7" s="54">
        <f t="shared" si="0"/>
        <v>19962765.78</v>
      </c>
    </row>
    <row r="8" spans="1:16">
      <c r="A8" s="38">
        <v>6</v>
      </c>
      <c r="B8" s="50" t="str">
        <f>总表!B51</f>
        <v>沃泰通</v>
      </c>
      <c r="C8" s="51">
        <f>总表!C51</f>
        <v>42881</v>
      </c>
      <c r="D8" s="52">
        <f>总表!D51</f>
        <v>43245</v>
      </c>
      <c r="E8" s="47">
        <f>LOOKUP(9E+307,沃泰通!C:C)</f>
        <v>20000000</v>
      </c>
      <c r="F8" s="54">
        <f>LOOKUP(9E+307,沃泰通!D:D)</f>
        <v>0</v>
      </c>
      <c r="G8" s="53">
        <f>H8</f>
        <v>1407500</v>
      </c>
      <c r="H8" s="53">
        <f>LOOKUP(9E+307,沃泰通!E:E)</f>
        <v>1407500</v>
      </c>
      <c r="I8" s="53">
        <f>J8</f>
        <v>156388.888888889</v>
      </c>
      <c r="J8" s="53">
        <f>LOOKUP(9E+307,沃泰通!F:F)</f>
        <v>156388.888888889</v>
      </c>
      <c r="K8" s="53">
        <f>L8</f>
        <v>469166.666666667</v>
      </c>
      <c r="L8" s="53">
        <f>LOOKUP(9E+307,沃泰通!G:G)</f>
        <v>469166.666666667</v>
      </c>
      <c r="M8" s="54">
        <f>IF($D8-$C8&lt;=29,$E8*总表!L51/12,IF(30&lt;=$D8-$C8&lt;=89,$E8*总表!L51/4,IF(90&lt;=$D8-$C8&lt;=182,$E8*总表!L51/2,$E8*总表!L51)))</f>
        <v>0</v>
      </c>
      <c r="N8" s="54">
        <f>LOOKUP(9E+307,沃泰通!H:H)</f>
        <v>0</v>
      </c>
      <c r="O8" s="54">
        <f>LOOKUP(9E+307,沃泰通!I:I)</f>
        <v>0</v>
      </c>
      <c r="P8" s="54">
        <f t="shared" si="0"/>
        <v>20000000</v>
      </c>
    </row>
    <row r="9" spans="1:16">
      <c r="A9" s="38">
        <v>7</v>
      </c>
      <c r="B9" s="50" t="str">
        <f>总表!B52</f>
        <v>中麦4期</v>
      </c>
      <c r="C9" s="51">
        <f>总表!C52</f>
        <v>42886</v>
      </c>
      <c r="D9" s="52">
        <f>总表!D52</f>
        <v>43250</v>
      </c>
      <c r="E9" s="47">
        <f>LOOKUP(9E+307,中麦4期!C:C)</f>
        <v>30000000</v>
      </c>
      <c r="F9" s="54">
        <f>LOOKUP(9E+307,中麦4期!D:D)</f>
        <v>0</v>
      </c>
      <c r="G9" s="53">
        <f>IF($D9-$C9&lt;=29,$E9*总表!I52/12,IF(30&lt;=$D9-$C9&lt;=89,$E9*总表!I52/4,IF(90&lt;=$D9-$C9&lt;=182,$E9*总表!I52/2,$E9*总表!I52)))</f>
        <v>3600000</v>
      </c>
      <c r="H9" s="53">
        <f>LOOKUP(9E+307,中麦4期!E:E)</f>
        <v>2700000</v>
      </c>
      <c r="I9" s="53">
        <f>IF($D9-$C9&lt;=30,$E9*总表!J52/12,IF(30&lt;$D9-$C9&lt;=90,$E9*总表!J52/4,IF(90&lt;$D9-$C9&lt;=182,$E9*总表!J52/2,$E9*总表!J52)))</f>
        <v>3600000</v>
      </c>
      <c r="J9" s="53">
        <f>LOOKUP(9E+307,中麦4期!F:F)</f>
        <v>2700000</v>
      </c>
      <c r="K9" s="53">
        <f>IF($D9-$C9&lt;=29,$E9*总表!K52/12,IF(30&lt;=$D9-$C9&lt;=89,$E9*总表!K52/4,IF(90&lt;=$D9-$C9&lt;=182,$E9*总表!K52/2,$E9*总表!K52)))</f>
        <v>0</v>
      </c>
      <c r="L9" s="53">
        <f>LOOKUP(9E+307,中麦4期!G:G)</f>
        <v>0</v>
      </c>
      <c r="M9" s="54">
        <f>IF($D9-$C9&lt;=29,$E9*总表!L52/12,IF(30&lt;=$D9-$C9&lt;=89,$E9*总表!L52/4,IF(90&lt;=$D9-$C9&lt;=182,$E9*总表!L52/2,$E9*总表!L52)))</f>
        <v>0</v>
      </c>
      <c r="N9" s="54">
        <f>LOOKUP(9E+307,中麦4期!H:H)</f>
        <v>0</v>
      </c>
      <c r="O9" s="54">
        <f>LOOKUP(9E+307,中麦4期!I:I)</f>
        <v>0</v>
      </c>
      <c r="P9" s="54">
        <f t="shared" si="0"/>
        <v>31800000</v>
      </c>
    </row>
    <row r="10" spans="1:16">
      <c r="A10" s="38">
        <v>8</v>
      </c>
      <c r="B10" s="50" t="str">
        <f>总表!B53</f>
        <v>猛狮2期</v>
      </c>
      <c r="C10" s="51">
        <f>总表!C53</f>
        <v>42892</v>
      </c>
      <c r="D10" s="52">
        <f>总表!D53</f>
        <v>43256</v>
      </c>
      <c r="E10" s="47">
        <f>LOOKUP(9E+307,猛狮2期!C:C)</f>
        <v>100000000</v>
      </c>
      <c r="F10" s="54">
        <f>LOOKUP(9E+307,猛狮2期!D:D)</f>
        <v>0</v>
      </c>
      <c r="G10" s="53">
        <f>IF($D10-$C10&lt;=29,$E10*总表!I53/12,IF(30&lt;=$D10-$C10&lt;=89,$E10*总表!I53/4,IF(90&lt;=$D10-$C10&lt;=182,$E10*总表!I53/2,$E10*总表!I53)))</f>
        <v>9000000</v>
      </c>
      <c r="H10" s="53">
        <f>LOOKUP(9E+307,猛狮2期!E:E)</f>
        <v>4500000</v>
      </c>
      <c r="I10" s="53">
        <f>IF($D10-$C10&lt;=30,$E10*总表!J53/12,IF(30&lt;$D10-$C10&lt;=90,$E10*总表!J53/4,IF(90&lt;$D10-$C10&lt;=182,$E10*总表!J53/2,$E10*总表!J53)))</f>
        <v>7000000</v>
      </c>
      <c r="J10" s="53">
        <f>LOOKUP(9E+307,猛狮2期!F:F)</f>
        <v>7000000</v>
      </c>
      <c r="K10" s="53">
        <f>IF($D10-$C10&lt;=29,$E10*总表!K53/12,IF(30&lt;=$D10-$C10&lt;=89,$E10*总表!K53/4,IF(90&lt;=$D10-$C10&lt;=182,$E10*总表!K53/2,$E10*总表!K53)))</f>
        <v>0</v>
      </c>
      <c r="L10" s="53">
        <f>LOOKUP(9E+307,猛狮2期!G:G)</f>
        <v>0</v>
      </c>
      <c r="M10" s="54">
        <f>IF($D10-$C10&lt;=29,$E10*总表!L53/12,IF(30&lt;=$D10-$C10&lt;=89,$E10*总表!L53/4,IF(90&lt;=$D10-$C10&lt;=182,$E10*总表!L53/2,$E10*总表!L53)))</f>
        <v>0</v>
      </c>
      <c r="N10" s="54">
        <f>LOOKUP(9E+307,猛狮2期!H:H)</f>
        <v>0</v>
      </c>
      <c r="O10" s="54">
        <f>LOOKUP(9E+307,猛狮2期!I:I)</f>
        <v>0</v>
      </c>
      <c r="P10" s="54">
        <f t="shared" si="0"/>
        <v>104500000</v>
      </c>
    </row>
    <row r="11" spans="1:16">
      <c r="A11" s="38">
        <v>9</v>
      </c>
      <c r="B11" s="50" t="str">
        <f>总表!B54</f>
        <v>升达6期</v>
      </c>
      <c r="C11" s="51">
        <f>总表!C54</f>
        <v>42902</v>
      </c>
      <c r="D11" s="52">
        <f>总表!D54</f>
        <v>43266</v>
      </c>
      <c r="E11" s="47">
        <f>LOOKUP(9E+307,升达6期!C:C)</f>
        <v>100000000</v>
      </c>
      <c r="F11" s="54">
        <f>LOOKUP(9E+307,升达6期!D:D)</f>
        <v>0</v>
      </c>
      <c r="G11" s="53">
        <f>IF($D11-$C11&lt;=29,$E11*总表!I54/12,IF(30&lt;=$D11-$C11&lt;=89,$E11*总表!I54/4,IF(90&lt;=$D11-$C11&lt;=182,$E11*总表!I54/2,$E11*总表!I54)))</f>
        <v>9000000</v>
      </c>
      <c r="H11" s="53">
        <f>LOOKUP(9E+307,升达6期!E:E)</f>
        <v>9000000</v>
      </c>
      <c r="I11" s="53">
        <f>IF($D11-$C11&lt;=30,$E11*总表!J54/12,IF(30&lt;$D11-$C11&lt;=90,$E11*总表!J54/4,IF(90&lt;$D11-$C11&lt;=182,$E11*总表!J54/2,$E11*总表!J54)))</f>
        <v>5500000</v>
      </c>
      <c r="J11" s="53">
        <f>LOOKUP(9E+307,升达6期!F:F)</f>
        <v>5500000</v>
      </c>
      <c r="K11" s="53">
        <f>IF($D11-$C11&lt;=29,$E11*总表!K54/12,IF(30&lt;=$D11-$C11&lt;=89,$E11*总表!K54/4,IF(90&lt;=$D11-$C11&lt;=182,$E11*总表!K54/2,$E11*总表!K54)))</f>
        <v>0</v>
      </c>
      <c r="L11" s="53">
        <f>LOOKUP(9E+307,升达6期!G:G)</f>
        <v>0</v>
      </c>
      <c r="M11" s="54">
        <f>IF($D11-$C11&lt;=29,$E11*总表!L54/12,IF(30&lt;=$D11-$C11&lt;=89,$E11*总表!L54/4,IF(90&lt;=$D11-$C11&lt;=182,$E11*总表!L54/2,$E11*总表!L54)))</f>
        <v>10000000</v>
      </c>
      <c r="N11" s="54">
        <f>LOOKUP(9E+307,升达6期!H:H)</f>
        <v>10000000</v>
      </c>
      <c r="O11" s="54">
        <f>LOOKUP(9E+307,升达6期!I:I)</f>
        <v>0</v>
      </c>
      <c r="P11" s="54">
        <f t="shared" si="0"/>
        <v>100000000</v>
      </c>
    </row>
    <row r="12" s="45" customFormat="1" spans="1:16">
      <c r="A12" s="38">
        <v>10</v>
      </c>
      <c r="B12" s="12" t="str">
        <f>总表!B55</f>
        <v>天成2期（长征电气1）</v>
      </c>
      <c r="C12" s="51">
        <f>总表!C55</f>
        <v>42902</v>
      </c>
      <c r="D12" s="52">
        <f>总表!D55</f>
        <v>43266</v>
      </c>
      <c r="E12" s="47">
        <f>LOOKUP(9E+307,天成2期长征电气1!C:C)</f>
        <v>30000000</v>
      </c>
      <c r="F12" s="54">
        <f>LOOKUP(9E+307,天成2期长征电气1!D:D)</f>
        <v>0</v>
      </c>
      <c r="G12" s="53">
        <f>IF($D12-$C12&lt;=29,$E12*总表!I55/12,IF(30&lt;=$D12-$C12&lt;=89,$E12*总表!I55/4,IF(90&lt;=$D12-$C12&lt;=182,$E12*总表!I55/2,$E12*总表!I55)))</f>
        <v>2160000</v>
      </c>
      <c r="H12" s="53">
        <f>LOOKUP(9E+307,天成2期长征电气1!E:E)</f>
        <v>1260000</v>
      </c>
      <c r="I12" s="53">
        <f>IF($D12-$C12&lt;=30,$E12*总表!J55/12,IF(30&lt;$D12-$C12&lt;=90,$E12*总表!J55/4,IF(90&lt;$D12-$C12&lt;=182,$E12*总表!J55/2,$E12*总表!J55)))</f>
        <v>0</v>
      </c>
      <c r="J12" s="53">
        <f>LOOKUP(9E+307,天成2期长征电气1!F:F)</f>
        <v>0</v>
      </c>
      <c r="K12" s="53">
        <f>IF($D12-$C12&lt;=29,$E12*总表!K55/12,IF(30&lt;=$D12-$C12&lt;=89,$E12*总表!K55/4,IF(90&lt;=$D12-$C12&lt;=182,$E12*总表!K55/2,$E12*总表!K55)))</f>
        <v>2340000</v>
      </c>
      <c r="L12" s="53">
        <f>LOOKUP(9E+307,天成2期长征电气1!G:G)</f>
        <v>1365000</v>
      </c>
      <c r="M12" s="54">
        <f>IF($D12-$C12&lt;=29,$E12*总表!L55/12,IF(30&lt;=$D12-$C12&lt;=89,$E12*总表!L55/4,IF(90&lt;=$D12-$C12&lt;=182,$E12*总表!L55/2,$E12*总表!L55)))</f>
        <v>0</v>
      </c>
      <c r="N12" s="54">
        <f>LOOKUP(9E+307,天成2期长征电气1!H:H)</f>
        <v>0</v>
      </c>
      <c r="O12" s="54">
        <f>LOOKUP(9E+307,天成2期长征电气1!I:I)</f>
        <v>0</v>
      </c>
      <c r="P12" s="54">
        <f t="shared" si="0"/>
        <v>31875000</v>
      </c>
    </row>
    <row r="13" s="46" customFormat="1" spans="1:16">
      <c r="A13" s="55">
        <v>11</v>
      </c>
      <c r="B13" s="56" t="str">
        <f>总表!B56</f>
        <v>天成3期</v>
      </c>
      <c r="C13" s="57">
        <f>总表!C56</f>
        <v>42902</v>
      </c>
      <c r="D13" s="57">
        <f>总表!D56</f>
        <v>42909</v>
      </c>
      <c r="E13" s="58">
        <f>LOOKUP(9E+307,天成3期!C:C)</f>
        <v>70000000</v>
      </c>
      <c r="F13" s="58">
        <f>LOOKUP(9E+307,天成3期!D:D)</f>
        <v>70000000</v>
      </c>
      <c r="G13" s="59">
        <f>H13</f>
        <v>98000</v>
      </c>
      <c r="H13" s="59">
        <f>LOOKUP(9E+307,天成3期!E:E)</f>
        <v>98000</v>
      </c>
      <c r="I13" s="59">
        <f>IF($D13-$C13&lt;=30,$E13*总表!J56/12,IF(30&lt;$D13-$C13&lt;=90,$E13*总表!J56/4,IF(90&lt;$D13-$C13&lt;=182,$E13*总表!J56/2,$E13*总表!J56)))</f>
        <v>0</v>
      </c>
      <c r="J13" s="59">
        <f>LOOKUP(9E+307,天成3期!F:F)</f>
        <v>0</v>
      </c>
      <c r="K13" s="59">
        <f>L13</f>
        <v>882000</v>
      </c>
      <c r="L13" s="59">
        <f>LOOKUP(9E+307,天成3期!G:G)</f>
        <v>882000</v>
      </c>
      <c r="M13" s="58">
        <f>IF($D13-$C13&lt;=29,$E13*总表!L56/12,IF(30&lt;=$D13-$C13&lt;=89,$E13*总表!L56/4,IF(90&lt;=$D13-$C13&lt;=182,$E13*总表!L56/2,$E13*总表!L56)))</f>
        <v>0</v>
      </c>
      <c r="N13" s="58">
        <f>LOOKUP(9E+307,天成3期!H:H)</f>
        <v>0</v>
      </c>
      <c r="O13" s="58">
        <f>LOOKUP(9E+307,天成3期!I:I)</f>
        <v>1020000</v>
      </c>
      <c r="P13" s="58">
        <v>0</v>
      </c>
    </row>
    <row r="14" s="45" customFormat="1" spans="1:16">
      <c r="A14" s="38">
        <v>12</v>
      </c>
      <c r="B14" s="50" t="str">
        <f>总表!B57</f>
        <v>山水环境</v>
      </c>
      <c r="C14" s="51">
        <f>总表!C57</f>
        <v>42906</v>
      </c>
      <c r="D14" s="52">
        <f>总表!D57</f>
        <v>43270</v>
      </c>
      <c r="E14" s="47">
        <f>LOOKUP(9E+307,山水环境!C:C)</f>
        <v>10000000</v>
      </c>
      <c r="F14" s="54">
        <f>LOOKUP(9E+307,山水环境!D:D)</f>
        <v>0</v>
      </c>
      <c r="G14" s="53">
        <f>IF($D14-$C14&lt;=29,$E14*总表!I57/12,IF(30&lt;=$D14-$C14&lt;=89,$E14*总表!I57/4,IF(90&lt;=$D14-$C14&lt;=182,$E14*总表!I57/2,$E14*总表!I57)))</f>
        <v>900000</v>
      </c>
      <c r="H14" s="53">
        <f>LOOKUP(9E+307,山水环境!E:E)</f>
        <v>525000</v>
      </c>
      <c r="I14" s="53">
        <f>IF($D14-$C14&lt;=30,$E14*总表!J57/12,IF(30&lt;$D14-$C14&lt;=90,$E14*总表!J57/4,IF(90&lt;$D14-$C14&lt;=182,$E14*总表!J57/2,$E14*总表!J57)))</f>
        <v>700000</v>
      </c>
      <c r="J14" s="53">
        <f>LOOKUP(9E+307,山水环境!F:F)</f>
        <v>700000</v>
      </c>
      <c r="K14" s="53">
        <f>IF($D14-$C14&lt;=29,$E14*总表!K57/12,IF(30&lt;=$D14-$C14&lt;=89,$E14*总表!K57/4,IF(90&lt;=$D14-$C14&lt;=182,$E14*总表!K57/2,$E14*总表!K57)))</f>
        <v>0</v>
      </c>
      <c r="L14" s="53">
        <f>LOOKUP(9E+307,山水环境!G:G)</f>
        <v>0</v>
      </c>
      <c r="M14" s="54">
        <f>IF($D14-$C14&lt;=29,$E14*总表!L57/12,IF(30&lt;=$D14-$C14&lt;=89,$E14*总表!L57/4,IF(90&lt;=$D14-$C14&lt;=182,$E14*总表!L57/2,$E14*总表!L57)))</f>
        <v>0</v>
      </c>
      <c r="N14" s="54">
        <f>LOOKUP(9E+307,山水环境!H:H)</f>
        <v>0</v>
      </c>
      <c r="O14" s="54">
        <f>LOOKUP(9E+307,山水环境!I:I)</f>
        <v>0</v>
      </c>
      <c r="P14" s="54">
        <f t="shared" si="0"/>
        <v>10375000</v>
      </c>
    </row>
    <row r="15" s="45" customFormat="1" spans="1:16">
      <c r="A15" s="38">
        <v>13</v>
      </c>
      <c r="B15" s="50" t="str">
        <f>总表!B58</f>
        <v>中孚5期</v>
      </c>
      <c r="C15" s="51">
        <f>总表!C58</f>
        <v>42906</v>
      </c>
      <c r="D15" s="52">
        <f>总表!D58</f>
        <v>43088</v>
      </c>
      <c r="E15" s="47">
        <f>LOOKUP(9E+307,中孚5期!C:C)</f>
        <v>100000000</v>
      </c>
      <c r="F15" s="54">
        <f>LOOKUP(9E+307,中孚5期!D:D)</f>
        <v>10000000</v>
      </c>
      <c r="G15" s="53">
        <f>IF($D15-$C15&lt;=29,$E15*总表!I58/12,IF(30&lt;=$D15-$C15&lt;=89,$E15*总表!I58/4,IF(90&lt;=$D15-$C15&lt;=182,$E15*总表!I58/2,$E15*总表!I58)))</f>
        <v>9000000</v>
      </c>
      <c r="H15" s="53">
        <f>LOOKUP(9E+307,中孚5期!E:E)</f>
        <v>2475000</v>
      </c>
      <c r="I15" s="53">
        <f>IF($D15-$C15&lt;=30,$E15*总表!J58/12,IF(30&lt;$D15-$C15&lt;=90,$E15*总表!J58/4,IF(90&lt;$D15-$C15&lt;=182,$E15*总表!J58/2,$E15*总表!J58)))</f>
        <v>4000000</v>
      </c>
      <c r="J15" s="53">
        <f>LOOKUP(9E+307,中孚5期!F:F)</f>
        <v>2000000</v>
      </c>
      <c r="K15" s="53">
        <f>IF($D15-$C15&lt;=29,$E15*总表!K58/12,IF(30&lt;=$D15-$C15&lt;=89,$E15*总表!K58/4,IF(90&lt;=$D15-$C15&lt;=182,$E15*总表!K58/2,$E15*总表!K58)))</f>
        <v>0</v>
      </c>
      <c r="L15" s="53">
        <f>LOOKUP(9E+307,中孚5期!G:G)</f>
        <v>0</v>
      </c>
      <c r="M15" s="54">
        <f>IF($D15-$C15&lt;=29,$E15*总表!L58/12,IF(30&lt;=$D15-$C15&lt;=89,$E15*总表!L58/4,IF(90&lt;=$D15-$C15&lt;=182,$E15*总表!L58/2,$E15*总表!L58)))</f>
        <v>0</v>
      </c>
      <c r="N15" s="54">
        <f>LOOKUP(9E+307,中孚5期!H:H)</f>
        <v>0</v>
      </c>
      <c r="O15" s="54">
        <f>LOOKUP(9E+307,中孚5期!I:I)</f>
        <v>0</v>
      </c>
      <c r="P15" s="54">
        <f t="shared" si="0"/>
        <v>98525000</v>
      </c>
    </row>
    <row r="16" s="46" customFormat="1" spans="1:16">
      <c r="A16" s="55">
        <v>14</v>
      </c>
      <c r="B16" s="56" t="str">
        <f>总表!B59</f>
        <v>宏达矿业</v>
      </c>
      <c r="C16" s="57">
        <f>总表!C59</f>
        <v>42912</v>
      </c>
      <c r="D16" s="57">
        <f>总表!D59</f>
        <v>43094</v>
      </c>
      <c r="E16" s="58">
        <f>LOOKUP(9E+307,宏达矿业!C:C)</f>
        <v>20000000</v>
      </c>
      <c r="F16" s="58">
        <f>LOOKUP(9E+307,宏达矿业!D:D)</f>
        <v>20000000</v>
      </c>
      <c r="G16" s="59">
        <f>H16</f>
        <v>900000</v>
      </c>
      <c r="H16" s="59">
        <f>LOOKUP(9E+307,宏达矿业!E:E)</f>
        <v>900000</v>
      </c>
      <c r="I16" s="59">
        <f>J16</f>
        <v>550000</v>
      </c>
      <c r="J16" s="59">
        <f>LOOKUP(9E+307,宏达矿业!F:F)</f>
        <v>550000</v>
      </c>
      <c r="K16" s="59">
        <f>IF($D16-$C16&lt;=29,$E16*总表!K59/12,IF(30&lt;=$D16-$C16&lt;=89,$E16*总表!K59/4,IF(90&lt;=$D16-$C16&lt;=182,$E16*总表!K59/2,$E16*总表!K59)))</f>
        <v>0</v>
      </c>
      <c r="L16" s="59">
        <f>LOOKUP(9E+307,宏达矿业!G:G)</f>
        <v>0</v>
      </c>
      <c r="M16" s="58">
        <f>IF($D16-$C16&lt;=29,$E16*总表!L59/12,IF(30&lt;=$D16-$C16&lt;=89,$E16*总表!L59/4,IF(90&lt;=$D16-$C16&lt;=182,$E16*总表!L59/2,$E16*总表!L59)))</f>
        <v>0</v>
      </c>
      <c r="N16" s="58">
        <f>LOOKUP(9E+307,宏达矿业!H:H)</f>
        <v>0</v>
      </c>
      <c r="O16" s="58">
        <f>LOOKUP(9E+307,宏达矿业!I:I)</f>
        <v>0</v>
      </c>
      <c r="P16" s="58">
        <f t="shared" si="0"/>
        <v>0</v>
      </c>
    </row>
    <row r="17" s="46" customFormat="1" spans="1:16">
      <c r="A17" s="55">
        <v>15</v>
      </c>
      <c r="B17" s="56" t="str">
        <f>总表!B60</f>
        <v>融钰1期</v>
      </c>
      <c r="C17" s="57">
        <f>总表!C60</f>
        <v>42919</v>
      </c>
      <c r="D17" s="57">
        <f>总表!D60</f>
        <v>43283</v>
      </c>
      <c r="E17" s="58">
        <f>LOOKUP(9E+307,融钰1期!C:C)</f>
        <v>50000000</v>
      </c>
      <c r="F17" s="58">
        <f>LOOKUP(9E+307,融钰1期!D:D)</f>
        <v>50000000</v>
      </c>
      <c r="G17" s="59">
        <f>IF($D17-$C17&lt;=29,$E17*总表!I60/12,IF(30&lt;=$D17-$C17&lt;=89,$E17*总表!I60/4,IF(90&lt;=$D17-$C17&lt;=182,$E17*总表!I60/2,$E17*总表!I60)))</f>
        <v>3000000</v>
      </c>
      <c r="H17" s="59">
        <f>LOOKUP(9E+307,融钰1期!E:E)</f>
        <v>1491666.67</v>
      </c>
      <c r="I17" s="59">
        <f>IF($D17-$C17&lt;=30,$E17*总表!J60/12,IF(30&lt;$D17-$C17&lt;=90,$E17*总表!J60/4,IF(90&lt;$D17-$C17&lt;=182,$E17*总表!J60/2,$E17*总表!J60)))</f>
        <v>4500000</v>
      </c>
      <c r="J17" s="59">
        <f>LOOKUP(9E+307,融钰1期!F:F)</f>
        <v>2237500</v>
      </c>
      <c r="K17" s="59">
        <f>IF($D17-$C17&lt;=29,$E17*总表!K60/12,IF(30&lt;=$D17-$C17&lt;=89,$E17*总表!K60/4,IF(90&lt;=$D17-$C17&lt;=182,$E17*总表!K60/2,$E17*总表!K60)))</f>
        <v>0</v>
      </c>
      <c r="L17" s="59">
        <f>LOOKUP(9E+307,融钰1期!G:G)</f>
        <v>0</v>
      </c>
      <c r="M17" s="58">
        <f>IF($D17-$C17&lt;=29,$E17*总表!L60/12,IF(30&lt;=$D17-$C17&lt;=89,$E17*总表!L60/4,IF(90&lt;=$D17-$C17&lt;=182,$E17*总表!L60/2,$E17*总表!L60)))</f>
        <v>5000000</v>
      </c>
      <c r="N17" s="58">
        <f>LOOKUP(9E+307,融钰1期!H:H)</f>
        <v>0</v>
      </c>
      <c r="O17" s="58">
        <f>LOOKUP(9E+307,融钰1期!I:I)</f>
        <v>0</v>
      </c>
      <c r="P17" s="58">
        <f t="shared" si="0"/>
        <v>8770833.33</v>
      </c>
    </row>
    <row r="18" spans="1:16">
      <c r="A18" s="38">
        <v>16</v>
      </c>
      <c r="B18" s="50" t="str">
        <f>总表!B61</f>
        <v>天成2期（银河开关）</v>
      </c>
      <c r="C18" s="51">
        <f>总表!C61</f>
        <v>42921</v>
      </c>
      <c r="D18" s="52">
        <f>总表!D61</f>
        <v>43285</v>
      </c>
      <c r="E18" s="47">
        <f>LOOKUP(9E+307,天成2期银河开关!C:C)</f>
        <v>50000000</v>
      </c>
      <c r="F18" s="54">
        <f>LOOKUP(9E+307,天成2期银河开关!D:D)</f>
        <v>0</v>
      </c>
      <c r="G18" s="53">
        <f>IF($D18-$C18&lt;=29,$E18*总表!I61/12,IF(30&lt;=$D18-$C18&lt;=89,$E18*总表!I61/4,IF(90&lt;=$D18-$C18&lt;=182,$E18*总表!I61/2,$E18*总表!I61)))</f>
        <v>3600000</v>
      </c>
      <c r="H18" s="53">
        <f>LOOKUP(9E+307,天成2期银河开关!E:E)</f>
        <v>1800000</v>
      </c>
      <c r="I18" s="53">
        <f>IF($D18-$C18&lt;=30,$E18*总表!J61/12,IF(30&lt;$D18-$C18&lt;=90,$E18*总表!J61/4,IF(90&lt;$D18-$C18&lt;=182,$E18*总表!J61/2,$E18*总表!J61)))</f>
        <v>0</v>
      </c>
      <c r="J18" s="53">
        <f>LOOKUP(9E+307,天成2期银河开关!F:F)</f>
        <v>0</v>
      </c>
      <c r="K18" s="53">
        <f>IF($D18-$C18&lt;=29,$E18*总表!K61/12,IF(30&lt;=$D18-$C18&lt;=89,$E18*总表!K61/4,IF(90&lt;=$D18-$C18&lt;=182,$E18*总表!K61/2,$E18*总表!K61)))</f>
        <v>3900000</v>
      </c>
      <c r="L18" s="53">
        <f>LOOKUP(9E+307,天成2期银河开关!G:G)</f>
        <v>1950000</v>
      </c>
      <c r="M18" s="54">
        <f>IF($D18-$C18&lt;=29,$E18*总表!L61/12,IF(30&lt;=$D18-$C18&lt;=89,$E18*总表!L61/4,IF(90&lt;=$D18-$C18&lt;=182,$E18*总表!L61/2,$E18*总表!L61)))</f>
        <v>0</v>
      </c>
      <c r="N18" s="54">
        <f>LOOKUP(9E+307,天成2期银河开关!H:H)</f>
        <v>0</v>
      </c>
      <c r="O18" s="54">
        <f>LOOKUP(9E+307,天成2期银河开关!I:I)</f>
        <v>0</v>
      </c>
      <c r="P18" s="54">
        <f t="shared" si="0"/>
        <v>53750000</v>
      </c>
    </row>
    <row r="19" spans="1:16">
      <c r="A19" s="38">
        <v>17</v>
      </c>
      <c r="B19" s="50" t="str">
        <f>总表!B62</f>
        <v>天成2期（长征电气2）</v>
      </c>
      <c r="C19" s="51">
        <f>总表!C62</f>
        <v>42922</v>
      </c>
      <c r="D19" s="52">
        <f>总表!D62</f>
        <v>43286</v>
      </c>
      <c r="E19" s="47">
        <f>LOOKUP(9E+307,天成2期长征电气2!C:C)</f>
        <v>50000000</v>
      </c>
      <c r="F19" s="54">
        <f>LOOKUP(9E+307,天成2期长征电气2!D:D)</f>
        <v>0</v>
      </c>
      <c r="G19" s="53">
        <f>IF($D19-$C19&lt;=29,$E19*总表!I62/12,IF(30&lt;=$D19-$C19&lt;=89,$E19*总表!I62/4,IF(90&lt;=$D19-$C19&lt;=182,$E19*总表!I62/2,$E19*总表!I62)))</f>
        <v>3600000</v>
      </c>
      <c r="H19" s="53">
        <f>LOOKUP(9E+307,天成2期长征电气2!E:E)</f>
        <v>1800000</v>
      </c>
      <c r="I19" s="53">
        <f>IF($D19-$C19&lt;=30,$E19*总表!J62/12,IF(30&lt;$D19-$C19&lt;=90,$E19*总表!J62/4,IF(90&lt;$D19-$C19&lt;=182,$E19*总表!J62/2,$E19*总表!J62)))</f>
        <v>0</v>
      </c>
      <c r="J19" s="53">
        <f>LOOKUP(9E+307,天成2期长征电气2!F:F)</f>
        <v>0</v>
      </c>
      <c r="K19" s="53">
        <f>IF($D19-$C19&lt;=29,$E19*总表!K62/12,IF(30&lt;=$D19-$C19&lt;=89,$E19*总表!K62/4,IF(90&lt;=$D19-$C19&lt;=182,$E19*总表!K62/2,$E19*总表!K62)))</f>
        <v>3900000</v>
      </c>
      <c r="L19" s="53">
        <f>LOOKUP(9E+307,天成2期长征电气2!G:G)</f>
        <v>1950000</v>
      </c>
      <c r="M19" s="54">
        <f>IF($D19-$C19&lt;=29,$E19*总表!L62/12,IF(30&lt;=$D19-$C19&lt;=89,$E19*总表!L62/4,IF(90&lt;=$D19-$C19&lt;=182,$E19*总表!L62/2,$E19*总表!L62)))</f>
        <v>0</v>
      </c>
      <c r="N19" s="54">
        <f>LOOKUP(9E+307,天成2期长征电气2!H:H)</f>
        <v>0</v>
      </c>
      <c r="O19" s="54">
        <f>LOOKUP(9E+307,天成2期长征电气2!I:I)</f>
        <v>0</v>
      </c>
      <c r="P19" s="54">
        <f t="shared" si="0"/>
        <v>53750000</v>
      </c>
    </row>
    <row r="20" s="46" customFormat="1" spans="1:16">
      <c r="A20" s="55">
        <v>18</v>
      </c>
      <c r="B20" s="56" t="str">
        <f>总表!B63</f>
        <v>融钰2期</v>
      </c>
      <c r="C20" s="57">
        <f>总表!C63</f>
        <v>42930</v>
      </c>
      <c r="D20" s="57">
        <f>总表!D63</f>
        <v>43294</v>
      </c>
      <c r="E20" s="58">
        <f>LOOKUP(9E+307,融钰2期!C:C)</f>
        <v>50000000</v>
      </c>
      <c r="F20" s="58">
        <f>LOOKUP(9E+307,融钰2期!D:D)</f>
        <v>50000000</v>
      </c>
      <c r="G20" s="59">
        <f>IF($D20-$C20&lt;=29,$E20*总表!I63/12,IF(30&lt;=$D20-$C20&lt;=89,$E20*总表!I63/4,IF(90&lt;=$D20-$C20&lt;=182,$E20*总表!I63/2,$E20*总表!I63)))</f>
        <v>3000000</v>
      </c>
      <c r="H20" s="59">
        <f>LOOKUP(9E+307,融钰2期!E:E)</f>
        <v>1491666.67</v>
      </c>
      <c r="I20" s="59">
        <f>IF($D20-$C20&lt;=30,$E20*总表!J63/12,IF(30&lt;$D20-$C20&lt;=90,$E20*总表!J63/4,IF(90&lt;$D20-$C20&lt;=182,$E20*总表!J63/2,$E20*总表!J63)))</f>
        <v>4500000</v>
      </c>
      <c r="J20" s="59">
        <f>LOOKUP(9E+307,融钰2期!F:F)</f>
        <v>2237500</v>
      </c>
      <c r="K20" s="59">
        <f>IF($D20-$C20&lt;=29,$E20*总表!K63/12,IF(30&lt;=$D20-$C20&lt;=89,$E20*总表!K63/4,IF(90&lt;=$D20-$C20&lt;=182,$E20*总表!K63/2,$E20*总表!K63)))</f>
        <v>0</v>
      </c>
      <c r="L20" s="59">
        <f>LOOKUP(9E+307,融钰2期!G:G)</f>
        <v>0</v>
      </c>
      <c r="M20" s="58">
        <f>IF($D20-$C20&lt;=29,$E20*总表!L63/12,IF(30&lt;=$D20-$C20&lt;=89,$E20*总表!L63/4,IF(90&lt;=$D20-$C20&lt;=182,$E20*总表!L63/2,$E20*总表!L63)))</f>
        <v>5000000</v>
      </c>
      <c r="N20" s="58">
        <f>LOOKUP(9E+307,融钰2期!H:H)</f>
        <v>0</v>
      </c>
      <c r="O20" s="58">
        <f>LOOKUP(9E+307,融钰2期!I:I)</f>
        <v>0</v>
      </c>
      <c r="P20" s="58">
        <f t="shared" si="0"/>
        <v>8770833.33</v>
      </c>
    </row>
    <row r="21" spans="1:16">
      <c r="A21" s="38">
        <v>19</v>
      </c>
      <c r="B21" s="50" t="str">
        <f>总表!B64</f>
        <v>格洛斯（金盾1期）</v>
      </c>
      <c r="C21" s="51">
        <f>总表!C64</f>
        <v>42937</v>
      </c>
      <c r="D21" s="52">
        <f>总表!D64</f>
        <v>43301</v>
      </c>
      <c r="E21" s="47">
        <f>LOOKUP(9E+307,格洛斯金盾1期!C:C)</f>
        <v>50000000</v>
      </c>
      <c r="F21" s="54">
        <f>LOOKUP(9E+307,格洛斯金盾1期!D:D)</f>
        <v>0</v>
      </c>
      <c r="G21" s="53">
        <f>IF($D21-$C21&lt;=29,$E21*总表!I64/12,IF(30&lt;=$D21-$C21&lt;=89,$E21*总表!I64/4,IF(90&lt;=$D21-$C21&lt;=182,$E21*总表!I64/2,$E21*总表!I64)))</f>
        <v>4500000</v>
      </c>
      <c r="H21" s="53">
        <f>LOOKUP(9E+307,格洛斯金盾1期!E:E)</f>
        <v>2250000</v>
      </c>
      <c r="I21" s="53">
        <f>IF($D21-$C21&lt;=30,$E21*总表!J64/12,IF(30&lt;$D21-$C21&lt;=90,$E21*总表!J64/4,IF(90&lt;$D21-$C21&lt;=182,$E21*总表!J64/2,$E21*总表!J64)))</f>
        <v>2500000</v>
      </c>
      <c r="J21" s="53">
        <f>LOOKUP(9E+307,格洛斯金盾1期!F:F)</f>
        <v>1250000</v>
      </c>
      <c r="K21" s="53">
        <f>IF($D21-$C21&lt;=29,$E21*总表!K64/12,IF(30&lt;=$D21-$C21&lt;=89,$E21*总表!K64/4,IF(90&lt;=$D21-$C21&lt;=182,$E21*总表!K64/2,$E21*总表!K64)))</f>
        <v>0</v>
      </c>
      <c r="L21" s="53">
        <f>LOOKUP(9E+307,格洛斯金盾1期!G:G)</f>
        <v>0</v>
      </c>
      <c r="M21" s="54">
        <f>IF($D21-$C21&lt;=29,$E21*总表!L64/12,IF(30&lt;=$D21-$C21&lt;=89,$E21*总表!L64/4,IF(90&lt;=$D21-$C21&lt;=182,$E21*总表!L64/2,$E21*总表!L64)))</f>
        <v>0</v>
      </c>
      <c r="N21" s="54">
        <f>LOOKUP(9E+307,格洛斯金盾1期!H:H)</f>
        <v>0</v>
      </c>
      <c r="O21" s="54">
        <f>LOOKUP(9E+307,格洛斯金盾1期!I:I)</f>
        <v>0</v>
      </c>
      <c r="P21" s="54">
        <f t="shared" si="0"/>
        <v>53500000</v>
      </c>
    </row>
    <row r="22" spans="1:16">
      <c r="A22" s="38">
        <v>20</v>
      </c>
      <c r="B22" s="50" t="str">
        <f>总表!B65</f>
        <v>尤夫1期</v>
      </c>
      <c r="C22" s="51">
        <f>总表!C65</f>
        <v>42943</v>
      </c>
      <c r="D22" s="52">
        <f>总表!D65</f>
        <v>43307</v>
      </c>
      <c r="E22" s="47">
        <f>LOOKUP(9E+307,尤夫1期!C:C)</f>
        <v>50000000</v>
      </c>
      <c r="F22" s="54">
        <f>LOOKUP(9E+307,尤夫1期!D:D)</f>
        <v>0</v>
      </c>
      <c r="G22" s="53">
        <f>IF($D22-$C22&lt;=29,$E22*总表!I65/12,IF(30&lt;=$D22-$C22&lt;=89,$E22*总表!I65/4,IF(90&lt;=$D22-$C22&lt;=182,$E22*总表!I65/2,$E22*总表!I65)))</f>
        <v>4500000</v>
      </c>
      <c r="H22" s="53">
        <f>LOOKUP(9E+307,尤夫1期!E:E)</f>
        <v>2250000</v>
      </c>
      <c r="I22" s="53">
        <f>IF($D22-$C22&lt;=30,$E22*总表!J65/12,IF(30&lt;$D22-$C22&lt;=90,$E22*总表!J65/4,IF(90&lt;$D22-$C22&lt;=182,$E22*总表!J65/2,$E22*总表!J65)))</f>
        <v>2750000</v>
      </c>
      <c r="J22" s="53">
        <f>LOOKUP(9E+307,尤夫1期!F:F)</f>
        <v>2750000</v>
      </c>
      <c r="K22" s="53">
        <f>IF($D22-$C22&lt;=29,$E22*总表!K65/12,IF(30&lt;=$D22-$C22&lt;=89,$E22*总表!K65/4,IF(90&lt;=$D22-$C22&lt;=182,$E22*总表!K65/2,$E22*总表!K65)))</f>
        <v>0</v>
      </c>
      <c r="L22" s="53">
        <f>LOOKUP(9E+307,尤夫1期!G:G)</f>
        <v>0</v>
      </c>
      <c r="M22" s="54">
        <f>IF($D22-$C22&lt;=29,$E22*总表!L65/12,IF(30&lt;=$D22-$C22&lt;=89,$E22*总表!L65/4,IF(90&lt;=$D22-$C22&lt;=182,$E22*总表!L65/2,$E22*总表!L65)))</f>
        <v>0</v>
      </c>
      <c r="N22" s="54">
        <f>LOOKUP(9E+307,尤夫1期!H:H)</f>
        <v>0</v>
      </c>
      <c r="O22" s="54">
        <f>LOOKUP(9E+307,尤夫1期!I:I)</f>
        <v>0</v>
      </c>
      <c r="P22" s="54">
        <f t="shared" si="0"/>
        <v>52250000</v>
      </c>
    </row>
    <row r="23" spans="1:16">
      <c r="A23" s="38">
        <v>21</v>
      </c>
      <c r="B23" s="50" t="str">
        <f>总表!B66</f>
        <v>金盾2期</v>
      </c>
      <c r="C23" s="51">
        <f>总表!C66</f>
        <v>42951</v>
      </c>
      <c r="D23" s="52">
        <f>总表!D66</f>
        <v>43315</v>
      </c>
      <c r="E23" s="47">
        <f>LOOKUP(9E+307,金盾2期!C:C)</f>
        <v>50000000</v>
      </c>
      <c r="F23" s="54">
        <f>LOOKUP(9E+307,金盾2期!D:D)</f>
        <v>0</v>
      </c>
      <c r="G23" s="53">
        <f>IF($D23-$C23&lt;=29,$E23*总表!I66/12,IF(30&lt;=$D23-$C23&lt;=89,$E23*总表!I66/4,IF(90&lt;=$D23-$C23&lt;=182,$E23*总表!I66/2,$E23*总表!I66)))</f>
        <v>4500000</v>
      </c>
      <c r="H23" s="53">
        <f>LOOKUP(9E+307,金盾2期!E:E)</f>
        <v>2250000</v>
      </c>
      <c r="I23" s="53">
        <f>IF($D23-$C23&lt;=30,$E23*总表!J66/12,IF(30&lt;$D23-$C23&lt;=90,$E23*总表!J66/4,IF(90&lt;$D23-$C23&lt;=182,$E23*总表!J66/2,$E23*总表!J66)))</f>
        <v>2500000</v>
      </c>
      <c r="J23" s="53">
        <f>LOOKUP(9E+307,金盾2期!F:F)</f>
        <v>1250000</v>
      </c>
      <c r="K23" s="53">
        <f>IF($D23-$C23&lt;=29,$E23*总表!K66/12,IF(30&lt;=$D23-$C23&lt;=89,$E23*总表!K66/4,IF(90&lt;=$D23-$C23&lt;=182,$E23*总表!K66/2,$E23*总表!K66)))</f>
        <v>0</v>
      </c>
      <c r="L23" s="53">
        <f>LOOKUP(9E+307,金盾2期!G:G)</f>
        <v>0</v>
      </c>
      <c r="M23" s="54">
        <f>IF($D23-$C23&lt;=29,$E23*总表!L66/12,IF(30&lt;=$D23-$C23&lt;=89,$E23*总表!L66/4,IF(90&lt;=$D23-$C23&lt;=182,$E23*总表!L66/2,$E23*总表!L66)))</f>
        <v>0</v>
      </c>
      <c r="N23" s="54">
        <f>LOOKUP(9E+307,金盾2期!H:H)</f>
        <v>0</v>
      </c>
      <c r="O23" s="54">
        <f>LOOKUP(9E+307,金盾2期!I:I)</f>
        <v>0</v>
      </c>
      <c r="P23" s="54">
        <f t="shared" si="0"/>
        <v>53500000</v>
      </c>
    </row>
    <row r="24" spans="1:16">
      <c r="A24" s="38">
        <v>22</v>
      </c>
      <c r="B24" s="50" t="str">
        <f>总表!B67</f>
        <v>尤夫2期</v>
      </c>
      <c r="C24" s="51">
        <f>总表!C67</f>
        <v>42956</v>
      </c>
      <c r="D24" s="52">
        <f>总表!D67</f>
        <v>43320</v>
      </c>
      <c r="E24" s="47">
        <f>LOOKUP(9E+307,尤夫2期!C:C)</f>
        <v>50000000</v>
      </c>
      <c r="F24" s="54">
        <f>LOOKUP(9E+307,尤夫2期!D:D)</f>
        <v>0</v>
      </c>
      <c r="G24" s="53">
        <f>IF($D24-$C24&lt;=29,$E24*总表!I67/12,IF(30&lt;=$D24-$C24&lt;=89,$E24*总表!I67/4,IF(90&lt;=$D24-$C24&lt;=182,$E24*总表!I67/2,$E24*总表!I67)))</f>
        <v>4500000</v>
      </c>
      <c r="H24" s="53">
        <f>LOOKUP(9E+307,尤夫2期!E:E)</f>
        <v>2250000</v>
      </c>
      <c r="I24" s="53">
        <f>IF($D24-$C24&lt;=30,$E24*总表!J67/12,IF(30&lt;$D24-$C24&lt;=90,$E24*总表!J67/4,IF(90&lt;$D24-$C24&lt;=182,$E24*总表!J67/2,$E24*总表!J67)))</f>
        <v>2750000</v>
      </c>
      <c r="J24" s="53">
        <f>LOOKUP(9E+307,尤夫2期!F:F)</f>
        <v>2750000</v>
      </c>
      <c r="K24" s="53">
        <f>IF($D24-$C24&lt;=29,$E24*总表!K67/12,IF(30&lt;=$D24-$C24&lt;=89,$E24*总表!K67/4,IF(90&lt;=$D24-$C24&lt;=182,$E24*总表!K67/2,$E24*总表!K67)))</f>
        <v>0</v>
      </c>
      <c r="L24" s="53">
        <f>LOOKUP(9E+307,尤夫2期!G:G)</f>
        <v>0</v>
      </c>
      <c r="M24" s="54">
        <f>IF($D24-$C24&lt;=29,$E24*总表!L67/12,IF(30&lt;=$D24-$C24&lt;=89,$E24*总表!L67/4,IF(90&lt;=$D24-$C24&lt;=182,$E24*总表!L67/2,$E24*总表!L67)))</f>
        <v>0</v>
      </c>
      <c r="N24" s="54">
        <f>LOOKUP(9E+307,尤夫2期!H:H)</f>
        <v>0</v>
      </c>
      <c r="O24" s="54">
        <f>LOOKUP(9E+307,尤夫2期!I:I)</f>
        <v>0</v>
      </c>
      <c r="P24" s="54">
        <f t="shared" si="0"/>
        <v>52250000</v>
      </c>
    </row>
    <row r="25" s="46" customFormat="1" spans="1:16">
      <c r="A25" s="55">
        <v>23</v>
      </c>
      <c r="B25" s="56" t="str">
        <f>总表!B68</f>
        <v>天成4期</v>
      </c>
      <c r="C25" s="57">
        <f>总表!C68</f>
        <v>42965</v>
      </c>
      <c r="D25" s="57">
        <f>总表!D68</f>
        <v>42995</v>
      </c>
      <c r="E25" s="58">
        <f>LOOKUP(9E+307,天成4期!C:C)</f>
        <v>30000000</v>
      </c>
      <c r="F25" s="58">
        <f>LOOKUP(9E+307,天成4期!D:D)</f>
        <v>30000000</v>
      </c>
      <c r="G25" s="59">
        <f>H25</f>
        <v>180000</v>
      </c>
      <c r="H25" s="59">
        <f>LOOKUP(9E+307,天成4期!E:E)</f>
        <v>180000</v>
      </c>
      <c r="I25" s="59">
        <f>IF($D25-$C25&lt;=30,$E25*总表!J68/12,IF(30&lt;$D25-$C25&lt;=90,$E25*总表!J68/4,IF(90&lt;$D25-$C25&lt;=182,$E25*总表!J68/2,$E25*总表!J68)))</f>
        <v>0</v>
      </c>
      <c r="J25" s="59">
        <f>LOOKUP(9E+307,天成4期!F:F)</f>
        <v>0</v>
      </c>
      <c r="K25" s="59">
        <f>L25</f>
        <v>720000</v>
      </c>
      <c r="L25" s="59">
        <f>LOOKUP(9E+307,天成4期!G:G)</f>
        <v>720000</v>
      </c>
      <c r="M25" s="58">
        <f>IF($D25-$C25&lt;=29,$E25*总表!L68/12,IF(30&lt;=$D25-$C25&lt;=89,$E25*总表!L68/4,IF(90&lt;=$D25-$C25&lt;=182,$E25*总表!L68/2,$E25*总表!L68)))</f>
        <v>0</v>
      </c>
      <c r="N25" s="58">
        <f>LOOKUP(9E+307,宏达矿业!H:H)</f>
        <v>0</v>
      </c>
      <c r="O25" s="58">
        <f>LOOKUP(9E+307,天成4期!I:I)</f>
        <v>90000</v>
      </c>
      <c r="P25" s="58">
        <v>0</v>
      </c>
    </row>
    <row r="26" s="46" customFormat="1" spans="1:16">
      <c r="A26" s="55">
        <v>24</v>
      </c>
      <c r="B26" s="56" t="str">
        <f>总表!B69</f>
        <v>前海圆舟</v>
      </c>
      <c r="C26" s="57">
        <f>总表!C69</f>
        <v>42986</v>
      </c>
      <c r="D26" s="57">
        <f>总表!D69</f>
        <v>43049</v>
      </c>
      <c r="E26" s="58">
        <f>LOOKUP(9E+307,前海圆舟!C:C)</f>
        <v>20000000</v>
      </c>
      <c r="F26" s="58">
        <f>LOOKUP(9E+307,前海圆舟!D:D)</f>
        <v>20000000</v>
      </c>
      <c r="G26" s="59">
        <f>IF($D26-$C26&lt;=29,$E26*总表!I69/12,IF(30&lt;=$D26-$C26&lt;=89,$E26*总表!I69/4,IF(90&lt;=$D26-$C26&lt;=182,$E26*总表!I69/2,$E26*总表!I69)))</f>
        <v>4800000</v>
      </c>
      <c r="H26" s="59">
        <f>LOOKUP(9E+307,前海圆舟!E:E)</f>
        <v>806700</v>
      </c>
      <c r="I26" s="59">
        <f>IF($D26-$C26&lt;=30,$E26*总表!J69/12,IF(30&lt;$D26-$C26&lt;=90,$E26*总表!J69/4,IF(90&lt;$D26-$C26&lt;=182,$E26*总表!J69/2,$E26*总表!J69)))</f>
        <v>0</v>
      </c>
      <c r="J26" s="59">
        <f>LOOKUP(9E+307,前海圆舟!F:F)</f>
        <v>0</v>
      </c>
      <c r="K26" s="59">
        <f>IF($D26-$C26&lt;=29,$E26*总表!K69/12,IF(30&lt;=$D26-$C26&lt;=89,$E26*总表!K69/4,IF(90&lt;=$D26-$C26&lt;=182,$E26*总表!K69/2,$E26*总表!K69)))</f>
        <v>0</v>
      </c>
      <c r="L26" s="59">
        <f>LOOKUP(9E+307,前海圆舟!G:G)</f>
        <v>0</v>
      </c>
      <c r="M26" s="58">
        <f>IF($D26-$C26&lt;=29,$E26*总表!L69/12,IF(30&lt;=$D26-$C26&lt;=89,$E26*总表!L69/4,IF(90&lt;=$D26-$C26&lt;=182,$E26*总表!L69/2,$E26*总表!L69)))</f>
        <v>0</v>
      </c>
      <c r="N26" s="58">
        <f>LOOKUP(9E+307,前海圆舟!H:H)</f>
        <v>0</v>
      </c>
      <c r="O26" s="58">
        <f>LOOKUP(9E+307,前海圆舟!I:I)</f>
        <v>0</v>
      </c>
      <c r="P26" s="58">
        <f t="shared" si="0"/>
        <v>3993300</v>
      </c>
    </row>
    <row r="27" spans="1:16">
      <c r="A27" s="38">
        <v>25</v>
      </c>
      <c r="B27" s="50" t="str">
        <f>总表!B70</f>
        <v>天成5期</v>
      </c>
      <c r="C27" s="51">
        <f>总表!C70</f>
        <v>42998</v>
      </c>
      <c r="D27" s="52">
        <f>总表!D70</f>
        <v>43098</v>
      </c>
      <c r="E27" s="47">
        <f>LOOKUP(9E+307,天成5期!C:C)</f>
        <v>30000000</v>
      </c>
      <c r="F27" s="54">
        <f>LOOKUP(9E+307,天成5期!D:D)</f>
        <v>0</v>
      </c>
      <c r="G27" s="53">
        <f>E27*0.04</f>
        <v>1200000</v>
      </c>
      <c r="H27" s="53">
        <f>LOOKUP(9E+307,天成5期!E:E)</f>
        <v>5070000</v>
      </c>
      <c r="I27" s="53">
        <f>IF($D27-$C27&lt;=30,$E27*总表!J70/12,IF(30&lt;$D27-$C27&lt;=90,$E27*总表!J70/4,IF(90&lt;$D27-$C27&lt;=182,$E27*总表!J70/2,$E27*总表!J70)))</f>
        <v>0</v>
      </c>
      <c r="J27" s="53">
        <f>LOOKUP(9E+307,天成5期!F:F)</f>
        <v>0</v>
      </c>
      <c r="K27" s="53">
        <f>IF($D27-$C27&lt;=29,$E27*总表!K70/12,IF(30&lt;=$D27-$C27&lt;=89,$E27*总表!K70/4,IF(90&lt;=$D27-$C27&lt;=182,$E27*总表!K70/2,$E27*总表!K70)))</f>
        <v>0</v>
      </c>
      <c r="L27" s="53">
        <f>LOOKUP(9E+307,天成5期!G:G)</f>
        <v>0</v>
      </c>
      <c r="M27" s="54">
        <f>IF($D27-$C27&lt;=29,$E27*总表!L70/12,IF(30&lt;=$D27-$C27&lt;=89,$E27*总表!L70/4,IF(90&lt;=$D27-$C27&lt;=182,$E27*总表!L70/2,$E27*总表!L70)))</f>
        <v>0</v>
      </c>
      <c r="N27" s="54">
        <f>LOOKUP(9E+307,天成5期!H:H)</f>
        <v>0</v>
      </c>
      <c r="O27" s="54">
        <f>LOOKUP(9E+307,天成5期!I:I)</f>
        <v>0</v>
      </c>
      <c r="P27" s="54">
        <f t="shared" si="0"/>
        <v>26130000</v>
      </c>
    </row>
    <row r="28" spans="1:16">
      <c r="A28" s="38">
        <v>26</v>
      </c>
      <c r="B28" s="50" t="str">
        <f>总表!B71</f>
        <v>汇源1期</v>
      </c>
      <c r="C28" s="51">
        <f>总表!C71</f>
        <v>43006</v>
      </c>
      <c r="D28" s="52">
        <f>总表!D71</f>
        <v>43370</v>
      </c>
      <c r="E28" s="47">
        <f>LOOKUP(9E+307,汇源1期!C:C)</f>
        <v>50000000</v>
      </c>
      <c r="F28" s="54">
        <f>LOOKUP(9E+307,汇源1期!D:D)</f>
        <v>0</v>
      </c>
      <c r="G28" s="53">
        <f>IF($D28-$C28&lt;=29,$E28*总表!I71/12,IF(30&lt;=$D28-$C28&lt;=89,$E28*总表!I71/4,IF(90&lt;=$D28-$C28&lt;=182,$E28*总表!I71/2,$E28*总表!I71)))</f>
        <v>4500000</v>
      </c>
      <c r="H28" s="53">
        <f>LOOKUP(9E+307,汇源1期!E:E)</f>
        <v>1500000</v>
      </c>
      <c r="I28" s="53">
        <f>IF($D28-$C28&lt;=30,$E28*总表!J71/12,IF(30&lt;$D28-$C28&lt;=90,$E28*总表!J71/4,IF(90&lt;$D28-$C28&lt;=182,$E28*总表!J71/2,$E28*总表!J71)))</f>
        <v>2500000</v>
      </c>
      <c r="J28" s="53">
        <f>LOOKUP(9E+307,汇源1期!F:F)</f>
        <v>1250000</v>
      </c>
      <c r="K28" s="53">
        <f>IF($D28-$C28&lt;=29,$E28*总表!K71/12,IF(30&lt;=$D28-$C28&lt;=89,$E28*总表!K71/4,IF(90&lt;=$D28-$C28&lt;=182,$E28*总表!K71/2,$E28*总表!K71)))</f>
        <v>0</v>
      </c>
      <c r="L28" s="53">
        <f>LOOKUP(9E+307,汇源1期!G:G)</f>
        <v>0</v>
      </c>
      <c r="M28" s="54">
        <f>IF($D28-$C28&lt;=29,$E28*总表!L71/12,IF(30&lt;=$D28-$C28&lt;=89,$E28*总表!L71/4,IF(90&lt;=$D28-$C28&lt;=182,$E28*总表!L71/2,$E28*总表!L71)))</f>
        <v>5000000</v>
      </c>
      <c r="N28" s="54">
        <f>LOOKUP(9E+307,汇源1期!H:H)</f>
        <v>5000000</v>
      </c>
      <c r="O28" s="54">
        <f>LOOKUP(9E+307,汇源1期!I:I)</f>
        <v>0</v>
      </c>
      <c r="P28" s="54">
        <f t="shared" si="0"/>
        <v>54250000</v>
      </c>
    </row>
    <row r="29" spans="1:16">
      <c r="A29" s="38">
        <v>27</v>
      </c>
      <c r="B29" s="50" t="str">
        <f>总表!B72</f>
        <v>恒润华创</v>
      </c>
      <c r="C29" s="51">
        <f>总表!C72</f>
        <v>43028</v>
      </c>
      <c r="D29" s="52">
        <f>总表!D72</f>
        <v>43392</v>
      </c>
      <c r="E29" s="47">
        <f>LOOKUP(9E+307,恒润华创!C:C)</f>
        <v>100000000</v>
      </c>
      <c r="F29" s="54">
        <f>LOOKUP(9E+307,恒润华创!D:D)</f>
        <v>0</v>
      </c>
      <c r="G29" s="53">
        <f>IF($D29-$C29&lt;=29,$E29*总表!I72/12,IF(30&lt;=$D29-$C29&lt;=89,$E29*总表!I72/4,IF(90&lt;=$D29-$C29&lt;=182,$E29*总表!I72/2,$E29*总表!I72)))</f>
        <v>12000000</v>
      </c>
      <c r="H29" s="53">
        <f>LOOKUP(9E+307,恒润华创!E:E)</f>
        <v>0</v>
      </c>
      <c r="I29" s="53">
        <f>IF($D29-$C29&lt;=30,$E29*总表!J72/12,IF(30&lt;$D29-$C29&lt;=90,$E29*总表!J72/4,IF(90&lt;$D29-$C29&lt;=182,$E29*总表!J72/2,$E29*总表!J72)))</f>
        <v>0</v>
      </c>
      <c r="J29" s="53">
        <f>LOOKUP(9E+307,恒润华创!F:F)</f>
        <v>0</v>
      </c>
      <c r="K29" s="53">
        <f>L29</f>
        <v>10000000</v>
      </c>
      <c r="L29" s="53">
        <f>LOOKUP(9E+307,恒润华创!G:G)</f>
        <v>10000000</v>
      </c>
      <c r="M29" s="54">
        <f>IF($D29-$C29&lt;=29,$E29*总表!L72/12,IF(30&lt;=$D29-$C29&lt;=89,$E29*总表!L72/4,IF(90&lt;=$D29-$C29&lt;=182,$E29*总表!L72/2,$E29*总表!L72)))</f>
        <v>0</v>
      </c>
      <c r="N29" s="54">
        <f>LOOKUP(9E+307,恒润华创!H:H)</f>
        <v>0</v>
      </c>
      <c r="O29" s="54">
        <f>LOOKUP(9E+307,恒润华创!I:I)</f>
        <v>0</v>
      </c>
      <c r="P29" s="54">
        <f t="shared" si="0"/>
        <v>112000000</v>
      </c>
    </row>
    <row r="30" spans="1:16">
      <c r="A30" s="38">
        <v>28</v>
      </c>
      <c r="B30" s="50" t="str">
        <f>总表!B73</f>
        <v>猛狮3期</v>
      </c>
      <c r="C30" s="51">
        <f>总表!C73</f>
        <v>43032</v>
      </c>
      <c r="D30" s="52">
        <f>总表!D73</f>
        <v>43396</v>
      </c>
      <c r="E30" s="47">
        <f>LOOKUP(9E+307,猛狮3期!C:C)</f>
        <v>95000000</v>
      </c>
      <c r="F30" s="54">
        <f>LOOKUP(9E+307,猛狮3期!D:D)</f>
        <v>0</v>
      </c>
      <c r="G30" s="53">
        <f>IF($D30-$C30&lt;=29,$E30*总表!I73/12,IF(30&lt;=$D30-$C30&lt;=89,$E30*总表!I73/4,IF(90&lt;=$D30-$C30&lt;=182,$E30*总表!I73/2,$E30*总表!I73)))</f>
        <v>8550000</v>
      </c>
      <c r="H30" s="53">
        <f>LOOKUP(9E+307,猛狮3期!E:E)</f>
        <v>189349.32</v>
      </c>
      <c r="I30" s="53">
        <f>IF($D30-$C30&lt;=30,$E30*总表!J73/12,IF(30&lt;$D30-$C30&lt;=90,$E30*总表!J73/4,IF(90&lt;$D30-$C30&lt;=182,$E30*总表!J73/2,$E30*总表!J73)))</f>
        <v>2850000</v>
      </c>
      <c r="J30" s="53">
        <f>LOOKUP(9E+307,猛狮3期!F:F)</f>
        <v>2865616.44</v>
      </c>
      <c r="K30" s="53">
        <f>IF($D30-$C30&lt;=29,$E30*总表!K73/12,IF(30&lt;=$D30-$C30&lt;=89,$E30*总表!K73/4,IF(90&lt;=$D30-$C30&lt;=182,$E30*总表!K73/2,$E30*总表!K73)))</f>
        <v>2850000</v>
      </c>
      <c r="L30" s="53">
        <f>LOOKUP(9E+307,猛狮3期!G:G)</f>
        <v>2258116.44</v>
      </c>
      <c r="M30" s="54">
        <f>IF($D30-$C30&lt;=29,$E30*总表!L73/12,IF(30&lt;=$D30-$C30&lt;=89,$E30*总表!L73/4,IF(90&lt;=$D30-$C30&lt;=182,$E30*总表!L73/2,$E30*总表!L73)))</f>
        <v>0</v>
      </c>
      <c r="N30" s="54">
        <f>LOOKUP(9E+307,猛狮3期!H:H)</f>
        <v>0</v>
      </c>
      <c r="O30" s="54">
        <f>LOOKUP(9E+307,猛狮3期!I:I)</f>
        <v>0</v>
      </c>
      <c r="P30" s="54">
        <f t="shared" si="0"/>
        <v>103936917.8</v>
      </c>
    </row>
    <row r="31" spans="1:16">
      <c r="A31" s="38">
        <v>29</v>
      </c>
      <c r="B31" s="50" t="str">
        <f>总表!B74</f>
        <v>汇源2期</v>
      </c>
      <c r="C31" s="51">
        <f>总表!C74</f>
        <v>43055</v>
      </c>
      <c r="D31" s="52">
        <f>总表!D74</f>
        <v>43419</v>
      </c>
      <c r="E31" s="47">
        <f>LOOKUP(9E+307,汇源2期!C:C)</f>
        <v>50000000</v>
      </c>
      <c r="F31" s="54">
        <f>LOOKUP(9E+307,汇源2期!D:D)</f>
        <v>0</v>
      </c>
      <c r="G31" s="53">
        <f>IF($D31-$C31&lt;=29,$E31*总表!I74/12,IF(30&lt;=$D31-$C31&lt;=89,$E31*总表!I74/4,IF(90&lt;=$D31-$C31&lt;=182,$E31*总表!I74/2,$E31*总表!I74)))</f>
        <v>4500000</v>
      </c>
      <c r="H31" s="53">
        <f>LOOKUP(9E+307,汇源2期!E:E)</f>
        <v>750000</v>
      </c>
      <c r="I31" s="53">
        <f>IF($D31-$C31&lt;=30,$E31*总表!J74/12,IF(30&lt;$D31-$C31&lt;=90,$E31*总表!J74/4,IF(90&lt;$D31-$C31&lt;=182,$E31*总表!J74/2,$E31*总表!J74)))</f>
        <v>2500000</v>
      </c>
      <c r="J31" s="53">
        <f>LOOKUP(9E+307,汇源2期!F:F)</f>
        <v>1250000</v>
      </c>
      <c r="K31" s="53">
        <f>IF($D31-$C31&lt;=29,$E31*总表!K74/12,IF(30&lt;=$D31-$C31&lt;=89,$E31*总表!K74/4,IF(90&lt;=$D31-$C31&lt;=182,$E31*总表!K74/2,$E31*总表!K74)))</f>
        <v>0</v>
      </c>
      <c r="L31" s="53">
        <f>LOOKUP(9E+307,汇源2期!G:G)</f>
        <v>0</v>
      </c>
      <c r="M31" s="54">
        <f>IF($D31-$C31&lt;=29,$E31*总表!L74/12,IF(30&lt;=$D31-$C31&lt;=89,$E31*总表!L74/4,IF(90&lt;=$D31-$C31&lt;=182,$E31*总表!L74/2,$E31*总表!L74)))</f>
        <v>5000000</v>
      </c>
      <c r="N31" s="54">
        <f>LOOKUP(9E+307,汇源2期!H:H)</f>
        <v>5000000</v>
      </c>
      <c r="O31" s="54">
        <f>LOOKUP(9E+307,汇源2期!I:I)</f>
        <v>0</v>
      </c>
      <c r="P31" s="54">
        <f t="shared" si="0"/>
        <v>55000000</v>
      </c>
    </row>
    <row r="32" s="46" customFormat="1" spans="1:16">
      <c r="A32" s="55">
        <v>30</v>
      </c>
      <c r="B32" s="56" t="str">
        <f>总表!B75</f>
        <v>康必得短借</v>
      </c>
      <c r="C32" s="57">
        <f>总表!C75</f>
        <v>43059</v>
      </c>
      <c r="D32" s="57">
        <f>总表!D75</f>
        <v>43104</v>
      </c>
      <c r="E32" s="58">
        <f>LOOKUP(9E+307,康必得短借!C:C)</f>
        <v>25000000</v>
      </c>
      <c r="F32" s="58">
        <f>LOOKUP(9E+307,康必得短借!D:D)</f>
        <v>25000000</v>
      </c>
      <c r="G32" s="59">
        <f>H32</f>
        <v>437500</v>
      </c>
      <c r="H32" s="59">
        <f>LOOKUP(9E+307,康必得短借!E:E)</f>
        <v>437500</v>
      </c>
      <c r="I32" s="59">
        <f>IF($D32-$C32&lt;=30,$E32*总表!J75/12,IF(30&lt;$D32-$C32&lt;=90,$E32*总表!J75/4,IF(90&lt;$D32-$C32&lt;=182,$E32*总表!J75/2,$E32*总表!J75)))</f>
        <v>0</v>
      </c>
      <c r="J32" s="59">
        <f>LOOKUP(9E+307,康必得短借!F:F)</f>
        <v>0</v>
      </c>
      <c r="K32" s="59">
        <f>L32</f>
        <v>312500</v>
      </c>
      <c r="L32" s="59">
        <f>LOOKUP(9E+307,康必得短借!G:G)</f>
        <v>312500</v>
      </c>
      <c r="M32" s="58">
        <f>IF($D32-$C32&lt;=29,$E32*总表!L75/12,IF(30&lt;=$D32-$C32&lt;=89,$E32*总表!L75/4,IF(90&lt;=$D32-$C32&lt;=182,$E32*总表!L75/2,$E32*总表!L75)))</f>
        <v>0</v>
      </c>
      <c r="N32" s="58">
        <f>LOOKUP(9E+307,康必得短借!H:H)</f>
        <v>0</v>
      </c>
      <c r="O32" s="58">
        <f>LOOKUP(9E+307,康必得短借!I:I)</f>
        <v>0</v>
      </c>
      <c r="P32" s="58">
        <f t="shared" si="0"/>
        <v>0</v>
      </c>
    </row>
    <row r="33" spans="1:16">
      <c r="A33" s="38">
        <v>31</v>
      </c>
      <c r="B33" s="50" t="str">
        <f>总表!B76</f>
        <v>驿家2期</v>
      </c>
      <c r="C33" s="51">
        <f>总表!C76</f>
        <v>43059</v>
      </c>
      <c r="D33" s="52">
        <f>总表!D76</f>
        <v>43423</v>
      </c>
      <c r="E33" s="47">
        <f>LOOKUP(9E+307,驿家2期!C:C)</f>
        <v>7821832.25</v>
      </c>
      <c r="F33" s="54">
        <f>LOOKUP(9E+307,驿家2期!D:D)</f>
        <v>0</v>
      </c>
      <c r="G33" s="53">
        <f>IF($D33-$C33&lt;=29,$E33*总表!I76/12,IF(30&lt;=$D33-$C33&lt;=89,$E33*总表!I76/4,IF(90&lt;=$D33-$C33&lt;=182,$E33*总表!I76/2,$E33*总表!I76)))</f>
        <v>938619.87</v>
      </c>
      <c r="H33" s="53">
        <f>LOOKUP(9E+307,驿家2期!E:E)</f>
        <v>136436.64</v>
      </c>
      <c r="I33" s="53">
        <f>IF($D33-$C33&lt;=30,$E33*总表!J76/12,IF(30&lt;$D33-$C33&lt;=90,$E33*总表!J76/4,IF(90&lt;$D33-$C33&lt;=182,$E33*总表!J76/2,$E33*总表!J76)))</f>
        <v>156436.645</v>
      </c>
      <c r="J33" s="53">
        <f>LOOKUP(9E+307,驿家2期!F:F)</f>
        <v>156436.65</v>
      </c>
      <c r="K33" s="53">
        <f>IF($D33-$C33&lt;=29,$E33*总表!K76/12,IF(30&lt;=$D33-$C33&lt;=89,$E33*总表!K76/4,IF(90&lt;=$D33-$C33&lt;=182,$E33*总表!K76/2,$E33*总表!K76)))</f>
        <v>0</v>
      </c>
      <c r="L33" s="53">
        <f>LOOKUP(9E+307,驿家2期!G:G)</f>
        <v>0</v>
      </c>
      <c r="M33" s="54">
        <f>IF($D33-$C33&lt;=29,$E33*总表!L76/12,IF(30&lt;=$D33-$C33&lt;=89,$E33*总表!L76/4,IF(90&lt;=$D33-$C33&lt;=182,$E33*总表!L76/2,$E33*总表!L76)))</f>
        <v>0</v>
      </c>
      <c r="N33" s="54">
        <f>LOOKUP(9E+307,驿家2期!H:H)</f>
        <v>0</v>
      </c>
      <c r="O33" s="54">
        <f>LOOKUP(9E+307,驿家2期!I:I)</f>
        <v>0</v>
      </c>
      <c r="P33" s="54">
        <f t="shared" si="0"/>
        <v>8624015.475</v>
      </c>
    </row>
    <row r="34" spans="1:16">
      <c r="A34" s="38">
        <v>32</v>
      </c>
      <c r="B34" s="50" t="str">
        <f>总表!B77</f>
        <v>捷夫珠宝</v>
      </c>
      <c r="C34" s="51" t="str">
        <f>总表!C77</f>
        <v>2017/11/24
2018/1/9</v>
      </c>
      <c r="D34" s="52" t="str">
        <f>总表!D77</f>
        <v>2018/11/23
2019/1/8</v>
      </c>
      <c r="E34" s="60">
        <f>LOOKUP(9E+307,捷夫珠宝!C:C)</f>
        <v>40000000</v>
      </c>
      <c r="F34" s="54">
        <f>LOOKUP(9E+307,捷夫珠宝!D:D)</f>
        <v>0</v>
      </c>
      <c r="G34" s="53" t="e">
        <f>IF($D34-$C34&lt;=29,$E34*总表!I77/12,IF(30&lt;=$D34-$C34&lt;=89,$E34*总表!I77/4,IF(90&lt;=$D34-$C34&lt;=182,$E34*总表!I77/2,$E34*总表!I77)))</f>
        <v>#VALUE!</v>
      </c>
      <c r="H34" s="53">
        <f>LOOKUP(9E+307,捷夫珠宝!E:E)</f>
        <v>120000</v>
      </c>
      <c r="I34" s="53" t="e">
        <f>IF($D34-$C34&lt;=30,$E34*总表!J77/12,IF(30&lt;$D34-$C34&lt;=90,$E34*总表!J77/4,IF(90&lt;$D34-$C34&lt;=182,$E34*总表!J77/2,$E34*总表!J77)))</f>
        <v>#VALUE!</v>
      </c>
      <c r="J34" s="66">
        <f>LOOKUP(9E+307,捷夫珠宝!F:F)</f>
        <v>30000</v>
      </c>
      <c r="K34" s="53" t="e">
        <f>IF($D34-$C34&lt;=29,$E34*总表!K77/12,IF(30&lt;=$D34-$C34&lt;=89,$E34*总表!K77/4,IF(90&lt;=$D34-$C34&lt;=182,$E34*总表!K77/2,$E34*总表!K77)))</f>
        <v>#VALUE!</v>
      </c>
      <c r="L34" s="66">
        <f>LOOKUP(9E+307,捷夫珠宝!G:G)</f>
        <v>1500000</v>
      </c>
      <c r="M34" s="54" t="e">
        <f>IF($D34-$C34&lt;=29,$E34*总表!L77/12,IF(30&lt;=$D34-$C34&lt;=89,$E34*总表!L77/4,IF(90&lt;=$D34-$C34&lt;=182,$E34*总表!L77/2,$E34*总表!L77)))</f>
        <v>#VALUE!</v>
      </c>
      <c r="N34" s="67">
        <f>LOOKUP(9E+307,捷夫珠宝!H:H)</f>
        <v>0</v>
      </c>
      <c r="O34" s="67">
        <f>LOOKUP(9E+307,捷夫珠宝!I:I)</f>
        <v>0</v>
      </c>
      <c r="P34" s="54" t="e">
        <f t="shared" si="0"/>
        <v>#VALUE!</v>
      </c>
    </row>
    <row r="35" spans="1:16">
      <c r="A35" s="38">
        <v>33</v>
      </c>
      <c r="B35" s="50" t="str">
        <f>总表!B78</f>
        <v>西藏发展</v>
      </c>
      <c r="C35" s="51">
        <f>总表!C78</f>
        <v>43068</v>
      </c>
      <c r="D35" s="52">
        <f>总表!D78</f>
        <v>43157</v>
      </c>
      <c r="E35" s="60">
        <f>LOOKUP(9E+307,西藏发展!C:C)</f>
        <v>20000000</v>
      </c>
      <c r="F35" s="54">
        <f>LOOKUP(9E+307,西藏发展!D:D)</f>
        <v>0</v>
      </c>
      <c r="G35" s="53">
        <v>720000</v>
      </c>
      <c r="H35" s="53">
        <f>LOOKUP(9E+307,西藏发展!E:E)</f>
        <v>480000</v>
      </c>
      <c r="I35" s="53">
        <f>IF($D35-$C35&lt;=30,$E35*总表!J78/12,IF(30&lt;$D35-$C35&lt;=90,$E35*总表!J78/4,IF(90&lt;$D35-$C35&lt;=182,$E35*总表!J78/2,$E35*总表!J78)))</f>
        <v>0</v>
      </c>
      <c r="J35" s="66">
        <f>LOOKUP(9E+307,西藏发展!F:F)</f>
        <v>0</v>
      </c>
      <c r="K35" s="66">
        <v>1080000</v>
      </c>
      <c r="L35" s="66">
        <f>LOOKUP(9E+307,西藏发展!G:G)</f>
        <v>720000</v>
      </c>
      <c r="M35" s="67">
        <f>表2[[#This Row],[实收保证金]]</f>
        <v>0</v>
      </c>
      <c r="N35" s="67">
        <f>LOOKUP(9E+307,西藏发展!H:H)</f>
        <v>0</v>
      </c>
      <c r="O35" s="67">
        <f>LOOKUP(9E+307,西藏发展!I:I)</f>
        <v>0</v>
      </c>
      <c r="P35" s="54">
        <f t="shared" si="0"/>
        <v>20600000</v>
      </c>
    </row>
    <row r="36" spans="1:16">
      <c r="A36" s="38">
        <v>34</v>
      </c>
      <c r="B36" s="50" t="s">
        <v>502</v>
      </c>
      <c r="C36" s="51">
        <f>总表!C79</f>
        <v>43090</v>
      </c>
      <c r="D36" s="52">
        <f>总表!D79</f>
        <v>43454</v>
      </c>
      <c r="E36" s="60">
        <f>LOOKUP(9E+307,乐语12期!C:C)</f>
        <v>20000000</v>
      </c>
      <c r="F36" s="54">
        <f>LOOKUP(9E+307,乐语12期!D:D)</f>
        <v>0</v>
      </c>
      <c r="G36" s="53">
        <f>IF($D36-$C36&lt;=29,$E36*总表!I79/12,IF(30&lt;=$D36-$C36&lt;=89,$E36*总表!I79/4,IF(90&lt;=$D36-$C36&lt;=182,$E36*总表!I79/2,$E36*总表!I79)))</f>
        <v>1800000</v>
      </c>
      <c r="H36" s="53">
        <f>LOOKUP(9E+307,乐语12期!E:E)</f>
        <v>0</v>
      </c>
      <c r="I36" s="53">
        <f>IF($D36-$C36&lt;=30,$E36*总表!J79/12,IF(30&lt;$D36-$C36&lt;=90,$E36*总表!J79/4,IF(90&lt;$D36-$C36&lt;=182,$E36*总表!J79/2,$E36*总表!J79)))</f>
        <v>900000</v>
      </c>
      <c r="J36" s="66">
        <f>LOOKUP(9E+307,乐语12期!F:F)</f>
        <v>450000</v>
      </c>
      <c r="K36" s="66">
        <f>IF($D36-$C36&lt;=29,$E36*总表!K79/12,IF(30&lt;=$D36-$C36&lt;=89,$E36*总表!K79/4,IF(90&lt;=$D36-$C36&lt;=182,$E36*总表!K79/2,$E36*总表!K79)))</f>
        <v>0</v>
      </c>
      <c r="L36" s="66">
        <f>LOOKUP(9E+307,乐语12期!G:G)</f>
        <v>0</v>
      </c>
      <c r="M36" s="67">
        <f>IF($D36-$C36&lt;=29,$E36*总表!L79/12,IF(30&lt;=$D36-$C36&lt;=89,$E36*总表!L79/4,IF(90&lt;=$D36-$C36&lt;=182,$E36*总表!L79/2,$E36*总表!L79)))</f>
        <v>2000000</v>
      </c>
      <c r="N36" s="67">
        <f>LOOKUP(9E+307,乐语12期!H:H)</f>
        <v>2000000</v>
      </c>
      <c r="O36" s="67">
        <f>LOOKUP(9E+307,乐语12期!I:I)</f>
        <v>0</v>
      </c>
      <c r="P36" s="54">
        <f t="shared" si="0"/>
        <v>22250000</v>
      </c>
    </row>
    <row r="37" spans="1:16">
      <c r="A37" s="38">
        <v>35</v>
      </c>
      <c r="B37" s="50" t="s">
        <v>507</v>
      </c>
      <c r="C37" s="51">
        <f>总表!C80</f>
        <v>43096</v>
      </c>
      <c r="D37" s="52">
        <f>总表!D80</f>
        <v>43460</v>
      </c>
      <c r="E37" s="60">
        <f>LOOKUP(9E+307,尤夫短拆!C:C)</f>
        <v>20000000</v>
      </c>
      <c r="F37" s="54">
        <f>LOOKUP(9E+307,尤夫短拆!D:D)</f>
        <v>0</v>
      </c>
      <c r="G37" s="53">
        <f>E36*12%/6</f>
        <v>400000</v>
      </c>
      <c r="H37" s="53">
        <f>LOOKUP(9E+307,尤夫短拆!E:E)</f>
        <v>400000</v>
      </c>
      <c r="I37" s="66">
        <v>0</v>
      </c>
      <c r="J37" s="66">
        <f>LOOKUP(9E+307,尤夫短拆!F:F)</f>
        <v>0</v>
      </c>
      <c r="K37" s="66">
        <f>表2[[#This Row],[放款金额]]*24%/6</f>
        <v>800000</v>
      </c>
      <c r="L37" s="66">
        <f>LOOKUP(9E+307,尤夫短拆!G:G)</f>
        <v>800000</v>
      </c>
      <c r="M37" s="67">
        <f>IF($D37-$C37&lt;=29,$E37*总表!L80/12,IF(30&lt;=$D37-$C37&lt;=89,$E37*总表!L80/4,IF(90&lt;=$D37-$C37&lt;=182,$E37*总表!L80/2,$E37*总表!L80)))</f>
        <v>0</v>
      </c>
      <c r="N37" s="67">
        <f>LOOKUP(9E+307,尤夫短拆!H:H)</f>
        <v>0</v>
      </c>
      <c r="O37" s="67">
        <f>LOOKUP(9E+307,乐语12期!I:I)</f>
        <v>0</v>
      </c>
      <c r="P37" s="54">
        <f t="shared" si="0"/>
        <v>20000000</v>
      </c>
    </row>
    <row r="38" spans="1:16">
      <c r="A38" s="38" t="s">
        <v>12</v>
      </c>
      <c r="B38" s="50"/>
      <c r="C38" s="51"/>
      <c r="D38" s="52"/>
      <c r="E38" s="47">
        <f ca="1">SUBTOTAL(109,E3:E37)</f>
        <v>1701821832.25</v>
      </c>
      <c r="F38" s="48">
        <f>SUBTOTAL(109,F3:F37)</f>
        <v>285000000</v>
      </c>
      <c r="G38" s="48" t="e">
        <f ca="1" t="shared" ref="G38:P38" si="1">SUBTOTAL(109,G3:G37)</f>
        <v>#VALUE!</v>
      </c>
      <c r="H38" s="48">
        <f t="shared" si="1"/>
        <v>70296041.52</v>
      </c>
      <c r="I38" s="48" t="e">
        <f ca="1" t="shared" si="1"/>
        <v>#VALUE!</v>
      </c>
      <c r="J38" s="48">
        <f t="shared" si="1"/>
        <v>51883441.9788889</v>
      </c>
      <c r="K38" s="48" t="e">
        <f ca="1" t="shared" si="1"/>
        <v>#VALUE!</v>
      </c>
      <c r="L38" s="48">
        <f t="shared" si="1"/>
        <v>26926783.1066667</v>
      </c>
      <c r="M38" s="48" t="e">
        <f ca="1" t="shared" si="1"/>
        <v>#VALUE!</v>
      </c>
      <c r="N38" s="48">
        <f t="shared" si="1"/>
        <v>30500000</v>
      </c>
      <c r="O38" s="48">
        <f t="shared" si="1"/>
        <v>1110000</v>
      </c>
      <c r="P38" s="48" t="e">
        <f ca="1" t="shared" si="1"/>
        <v>#VALUE!</v>
      </c>
    </row>
    <row r="39" spans="2:4">
      <c r="B39" s="50"/>
      <c r="C39" s="51"/>
      <c r="D39" s="52"/>
    </row>
    <row r="40" spans="2:4">
      <c r="B40" s="50"/>
      <c r="C40" s="51"/>
      <c r="D40" s="52"/>
    </row>
    <row r="41" spans="1:4">
      <c r="A41" s="61" t="s">
        <v>524</v>
      </c>
      <c r="B41" s="62">
        <f ca="1">E38-F38</f>
        <v>1416821832.25</v>
      </c>
      <c r="C41" s="51"/>
      <c r="D41" s="52"/>
    </row>
    <row r="42" spans="1:4">
      <c r="A42" s="61" t="s">
        <v>525</v>
      </c>
      <c r="B42" s="62" t="e">
        <f ca="1">G38-H38</f>
        <v>#VALUE!</v>
      </c>
      <c r="C42" s="51"/>
      <c r="D42" s="52"/>
    </row>
    <row r="43" spans="1:4">
      <c r="A43" s="61" t="s">
        <v>526</v>
      </c>
      <c r="B43" s="62" t="e">
        <f ca="1">I38-J38</f>
        <v>#VALUE!</v>
      </c>
      <c r="C43" s="51"/>
      <c r="D43" s="52"/>
    </row>
    <row r="44" spans="1:4">
      <c r="A44" s="61" t="s">
        <v>527</v>
      </c>
      <c r="B44" s="62" t="e">
        <f ca="1">K38-L38</f>
        <v>#VALUE!</v>
      </c>
      <c r="C44" s="51"/>
      <c r="D44" s="63"/>
    </row>
    <row r="45" spans="1:2">
      <c r="A45" s="61" t="s">
        <v>12</v>
      </c>
      <c r="B45" s="62" t="e">
        <f ca="1">SUM(B41:B44)</f>
        <v>#VALUE!</v>
      </c>
    </row>
    <row r="50" spans="3:3">
      <c r="C50" s="64">
        <f ca="1">E38-F38</f>
        <v>1416821832.25</v>
      </c>
    </row>
  </sheetData>
  <mergeCells count="1">
    <mergeCell ref="A1:P1"/>
  </mergeCells>
  <conditionalFormatting sqref="F26">
    <cfRule type="cellIs" dxfId="0" priority="1" operator="equal">
      <formula>$E$25</formula>
    </cfRule>
    <cfRule type="cellIs" dxfId="0" priority="2" operator="equal">
      <formula>$E$13</formula>
    </cfRule>
  </conditionalFormatting>
  <hyperlinks>
    <hyperlink ref="B3" location="升达4期!A1" display="=总表!B46"/>
    <hyperlink ref="B12" location="天成2期长征电气1!A1" display="=总表!B55"/>
    <hyperlink ref="B5" location="猛狮科技!A1" display="=总表!B48"/>
    <hyperlink ref="B6" location="长城集团!A1" display="=总表!B49"/>
    <hyperlink ref="B7" location="驿家短租公寓!A1" display="=总表!B50"/>
    <hyperlink ref="B8" location="沃泰通!A1" display="=总表!B51"/>
    <hyperlink ref="B9" location="中麦4期!A1" display="=总表!B52"/>
    <hyperlink ref="B10" location="猛狮2期!A1" display="=总表!B53"/>
    <hyperlink ref="B11" location="升达6期!A1" display="=总表!B54"/>
    <hyperlink ref="B4" location="升达5期!A1" display="=总表!B47"/>
    <hyperlink ref="B13" location="天成3期!A1" display="=总表!B56"/>
    <hyperlink ref="B14" location="山水环境!A1" display="=总表!B57"/>
    <hyperlink ref="B15" location="中孚5期!A1" display="=总表!B58"/>
    <hyperlink ref="B16" location="宏达矿业!A1" display="=总表!B59"/>
    <hyperlink ref="B17" location="融钰1期!A1" display="=总表!B60"/>
    <hyperlink ref="B18" location="天成2期银河开关!A1" display="=总表!B61"/>
    <hyperlink ref="B19" location="天成2期银河开关!A1" display="=总表!B62"/>
    <hyperlink ref="B20" location="融钰2期!A1" display="=总表!B63"/>
    <hyperlink ref="B21" location="格洛斯金盾1期!A1" display="=总表!B64"/>
    <hyperlink ref="B22" location="尤夫1期!A1" display="=总表!B65"/>
    <hyperlink ref="B23" location="金盾2期!A1" display="=总表!B66"/>
    <hyperlink ref="B24" location="尤夫2期!A1" display="=总表!B67"/>
    <hyperlink ref="B25" location="天成4期!A1" display="=总表!B68"/>
    <hyperlink ref="B26" location="前海圆舟!A1" display="=总表!B69"/>
    <hyperlink ref="B27" location="天成5期!A1" display="=总表!B70"/>
    <hyperlink ref="B28" location="汇源1期!A1" display="=总表!B71"/>
    <hyperlink ref="B29" location="恒润华创!A1" display="=总表!B72"/>
    <hyperlink ref="B30" location="猛狮3期!A1" display="=总表!B73"/>
    <hyperlink ref="B31" location="汇源2期!A1" display="=总表!B74"/>
    <hyperlink ref="B32:B33" location="汇源2期!A1" display="=总表!B75"/>
    <hyperlink ref="B33" location="驿家2期!A1" display="=总表!B76"/>
    <hyperlink ref="B34:B35" location="汇源2期!A1" display="=总表!B77"/>
    <hyperlink ref="B34" location="捷夫珠宝!A1" display="=总表!B77"/>
    <hyperlink ref="B35" location="西藏发展!A1" display="=总表!B78"/>
    <hyperlink ref="B36" location="乐语12期!A1" display="乐语12期"/>
    <hyperlink ref="B32" location="康必得短借!A1" display="=总表!B75"/>
  </hyperlinks>
  <pageMargins left="0.699305555555556" right="0.699305555555556" top="0.75" bottom="0.75" header="0.3" footer="0.3"/>
  <pageSetup paperSize="9" orientation="portrait"/>
  <headerFooter/>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H16"/>
  <sheetViews>
    <sheetView workbookViewId="0">
      <selection activeCell="A1" sqref="A1:H16"/>
    </sheetView>
  </sheetViews>
  <sheetFormatPr defaultColWidth="9" defaultRowHeight="13.5" outlineLevelCol="7"/>
  <cols>
    <col min="1" max="1" width="9" style="38"/>
    <col min="2" max="3" width="23.25" customWidth="1"/>
    <col min="4" max="6" width="19.5" customWidth="1"/>
    <col min="7" max="7" width="20.75" customWidth="1"/>
    <col min="8" max="8" width="19.5" customWidth="1"/>
  </cols>
  <sheetData>
    <row r="1" ht="22.5" spans="1:8">
      <c r="A1" s="39" t="s">
        <v>528</v>
      </c>
      <c r="B1" s="39"/>
      <c r="C1" s="39"/>
      <c r="D1" s="39"/>
      <c r="E1" s="39"/>
      <c r="F1" s="39"/>
      <c r="G1" s="39"/>
      <c r="H1" s="39"/>
    </row>
    <row r="2" spans="1:8">
      <c r="A2" s="3" t="s">
        <v>529</v>
      </c>
      <c r="B2" s="3" t="s">
        <v>6</v>
      </c>
      <c r="C2" s="3" t="s">
        <v>513</v>
      </c>
      <c r="D2" s="3" t="s">
        <v>515</v>
      </c>
      <c r="E2" s="3" t="s">
        <v>517</v>
      </c>
      <c r="F2" s="40" t="s">
        <v>519</v>
      </c>
      <c r="G2" s="40" t="s">
        <v>521</v>
      </c>
      <c r="H2" s="40" t="s">
        <v>530</v>
      </c>
    </row>
    <row r="3" spans="1:8">
      <c r="A3" s="41" t="s">
        <v>531</v>
      </c>
      <c r="B3" s="42">
        <v>50000000</v>
      </c>
      <c r="C3" s="42">
        <v>0</v>
      </c>
      <c r="D3" s="42">
        <v>2250000</v>
      </c>
      <c r="E3" s="42">
        <v>750000</v>
      </c>
      <c r="F3" s="42">
        <v>1000000</v>
      </c>
      <c r="G3" s="42">
        <v>2500000</v>
      </c>
      <c r="H3" s="42">
        <v>0</v>
      </c>
    </row>
    <row r="4" spans="1:8">
      <c r="A4" s="41" t="s">
        <v>532</v>
      </c>
      <c r="B4" s="42">
        <v>0</v>
      </c>
      <c r="C4" s="42">
        <v>0</v>
      </c>
      <c r="D4" s="42">
        <v>0</v>
      </c>
      <c r="E4" s="42">
        <v>0</v>
      </c>
      <c r="F4" s="42">
        <v>0</v>
      </c>
      <c r="G4" s="42">
        <v>0</v>
      </c>
      <c r="H4" s="42">
        <v>0</v>
      </c>
    </row>
    <row r="5" spans="1:8">
      <c r="A5" s="41" t="s">
        <v>533</v>
      </c>
      <c r="B5" s="42">
        <v>60000000</v>
      </c>
      <c r="C5" s="42">
        <v>0</v>
      </c>
      <c r="D5" s="42">
        <v>3600000</v>
      </c>
      <c r="E5" s="42">
        <v>900000</v>
      </c>
      <c r="F5" s="42">
        <v>0</v>
      </c>
      <c r="G5" s="42">
        <v>6000000</v>
      </c>
      <c r="H5" s="42">
        <v>0</v>
      </c>
    </row>
    <row r="6" spans="1:8">
      <c r="A6" s="41" t="s">
        <v>534</v>
      </c>
      <c r="B6" s="42">
        <v>100000000</v>
      </c>
      <c r="C6" s="42">
        <v>0</v>
      </c>
      <c r="D6" s="42">
        <v>0</v>
      </c>
      <c r="E6" s="42">
        <v>4000000</v>
      </c>
      <c r="F6" s="42">
        <v>2000000</v>
      </c>
      <c r="G6" s="42">
        <v>0</v>
      </c>
      <c r="H6" s="42">
        <v>0</v>
      </c>
    </row>
    <row r="7" spans="1:8">
      <c r="A7" s="41" t="s">
        <v>535</v>
      </c>
      <c r="B7" s="42">
        <v>154000000</v>
      </c>
      <c r="C7" s="42">
        <v>0</v>
      </c>
      <c r="D7" s="42">
        <v>1407500</v>
      </c>
      <c r="E7" s="42">
        <v>3906388.88888889</v>
      </c>
      <c r="F7" s="42">
        <v>469166.666666667</v>
      </c>
      <c r="G7" s="42">
        <v>0</v>
      </c>
      <c r="H7" s="42">
        <v>0</v>
      </c>
    </row>
    <row r="8" spans="1:8">
      <c r="A8" s="41" t="s">
        <v>536</v>
      </c>
      <c r="B8" s="42">
        <v>310000000</v>
      </c>
      <c r="C8" s="42">
        <v>70000000</v>
      </c>
      <c r="D8" s="42">
        <v>6473000</v>
      </c>
      <c r="E8" s="42">
        <v>11750000</v>
      </c>
      <c r="F8" s="42">
        <v>882000</v>
      </c>
      <c r="G8" s="42">
        <v>10000000</v>
      </c>
      <c r="H8" s="42">
        <v>1020000</v>
      </c>
    </row>
    <row r="9" spans="1:8">
      <c r="A9" s="41" t="s">
        <v>537</v>
      </c>
      <c r="B9" s="42">
        <v>240000000</v>
      </c>
      <c r="C9" s="42">
        <v>0</v>
      </c>
      <c r="D9" s="42">
        <v>6450000</v>
      </c>
      <c r="E9" s="42">
        <v>9800000</v>
      </c>
      <c r="F9" s="42">
        <v>1000000</v>
      </c>
      <c r="G9" s="42">
        <v>0</v>
      </c>
      <c r="H9" s="42">
        <v>0</v>
      </c>
    </row>
    <row r="10" spans="1:8">
      <c r="A10" s="41" t="s">
        <v>538</v>
      </c>
      <c r="B10" s="42">
        <v>150000000</v>
      </c>
      <c r="C10" s="42">
        <v>0</v>
      </c>
      <c r="D10" s="42">
        <v>6603333</v>
      </c>
      <c r="E10" s="42">
        <v>4000000</v>
      </c>
      <c r="F10" s="42">
        <v>720000</v>
      </c>
      <c r="G10" s="42">
        <v>0</v>
      </c>
      <c r="H10" s="42">
        <v>0</v>
      </c>
    </row>
    <row r="11" spans="1:8">
      <c r="A11" s="41" t="s">
        <v>539</v>
      </c>
      <c r="B11" s="42">
        <v>80000000</v>
      </c>
      <c r="C11" s="42">
        <v>30000000</v>
      </c>
      <c r="D11" s="42">
        <v>4891700</v>
      </c>
      <c r="E11" s="42">
        <v>1250000</v>
      </c>
      <c r="F11" s="42">
        <v>0</v>
      </c>
      <c r="G11" s="42">
        <v>15000000</v>
      </c>
      <c r="H11" s="42">
        <v>90000</v>
      </c>
    </row>
    <row r="12" spans="1:8">
      <c r="A12" s="41" t="s">
        <v>540</v>
      </c>
      <c r="B12" s="42">
        <v>167500000</v>
      </c>
      <c r="C12" s="42">
        <v>10000000</v>
      </c>
      <c r="D12" s="42">
        <v>10389349.32</v>
      </c>
      <c r="E12" s="42">
        <v>2940616.44</v>
      </c>
      <c r="F12" s="42">
        <v>11433116.44</v>
      </c>
      <c r="G12" s="42">
        <v>0</v>
      </c>
      <c r="H12" s="42">
        <v>0</v>
      </c>
    </row>
    <row r="13" spans="1:8">
      <c r="A13" s="41" t="s">
        <v>541</v>
      </c>
      <c r="B13" s="42">
        <v>138321832.25</v>
      </c>
      <c r="C13" s="42">
        <v>10000000</v>
      </c>
      <c r="D13" s="42">
        <v>8089051.32</v>
      </c>
      <c r="E13" s="42">
        <v>6916436.65</v>
      </c>
      <c r="F13" s="42">
        <v>1992500</v>
      </c>
      <c r="G13" s="42">
        <v>5000000</v>
      </c>
      <c r="H13" s="42">
        <v>0</v>
      </c>
    </row>
    <row r="14" spans="1:8">
      <c r="A14" s="41" t="s">
        <v>542</v>
      </c>
      <c r="B14" s="42">
        <v>52000000</v>
      </c>
      <c r="C14" s="42">
        <v>79979166.67</v>
      </c>
      <c r="D14" s="42">
        <v>10408774.54</v>
      </c>
      <c r="E14" s="42">
        <v>3620000</v>
      </c>
      <c r="F14" s="42">
        <v>1160000</v>
      </c>
      <c r="G14" s="42">
        <v>2000000</v>
      </c>
      <c r="H14" s="42">
        <v>0</v>
      </c>
    </row>
    <row r="16" s="37" customFormat="1" spans="1:8">
      <c r="A16" s="43" t="s">
        <v>12</v>
      </c>
      <c r="B16" s="44">
        <f>SUM(B3:B15)</f>
        <v>1501821832.25</v>
      </c>
      <c r="C16" s="44">
        <f t="shared" ref="C16:H16" si="0">SUM(C3:C15)</f>
        <v>199979166.67</v>
      </c>
      <c r="D16" s="44">
        <f t="shared" si="0"/>
        <v>60562708.18</v>
      </c>
      <c r="E16" s="44">
        <f t="shared" si="0"/>
        <v>49833441.9788889</v>
      </c>
      <c r="F16" s="44">
        <f t="shared" si="0"/>
        <v>20656783.1066667</v>
      </c>
      <c r="G16" s="44">
        <f t="shared" si="0"/>
        <v>40500000</v>
      </c>
      <c r="H16" s="44">
        <f t="shared" si="0"/>
        <v>1110000</v>
      </c>
    </row>
  </sheetData>
  <mergeCells count="1">
    <mergeCell ref="A1:H1"/>
  </mergeCells>
  <pageMargins left="0.699305555555556" right="0.699305555555556" top="0.75" bottom="0.75" header="0.3" footer="0.3"/>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2049" name="Button 1" r:id="rId3">
              <controlPr print="0" defaultSize="0">
                <anchor moveWithCells="1" sizeWithCells="1">
                  <from>
                    <xdr:col>3</xdr:col>
                    <xdr:colOff>66675</xdr:colOff>
                    <xdr:row>18</xdr:row>
                    <xdr:rowOff>38100</xdr:rowOff>
                  </from>
                  <to>
                    <xdr:col>4</xdr:col>
                    <xdr:colOff>409575</xdr:colOff>
                    <xdr:row>21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12"/>
  <sheetViews>
    <sheetView workbookViewId="0">
      <selection activeCell="A3" sqref="A3:H12"/>
    </sheetView>
  </sheetViews>
  <sheetFormatPr defaultColWidth="9" defaultRowHeight="13.5"/>
  <cols>
    <col min="1" max="2" width="11.625" customWidth="1"/>
    <col min="3" max="3" width="17.25" customWidth="1"/>
    <col min="4" max="4" width="9.75" customWidth="1"/>
    <col min="5" max="7" width="13.875" customWidth="1"/>
    <col min="8" max="8" width="16.125" customWidth="1"/>
    <col min="9" max="9" width="9.75" customWidth="1"/>
  </cols>
  <sheetData>
    <row r="1" ht="18.75" spans="1:11">
      <c r="A1" s="1" t="s">
        <v>543</v>
      </c>
      <c r="B1" s="1"/>
      <c r="C1" s="1"/>
      <c r="D1" s="1"/>
      <c r="E1" s="1"/>
      <c r="F1" s="1"/>
      <c r="G1" s="1"/>
      <c r="H1" s="2"/>
      <c r="I1" s="2"/>
      <c r="J1" s="12" t="s">
        <v>544</v>
      </c>
      <c r="K1" s="12" t="s">
        <v>545</v>
      </c>
    </row>
    <row r="2" spans="1:11">
      <c r="A2" s="3" t="s">
        <v>2</v>
      </c>
      <c r="B2" s="3" t="s">
        <v>546</v>
      </c>
      <c r="C2" s="3" t="s">
        <v>6</v>
      </c>
      <c r="D2" s="3" t="s">
        <v>513</v>
      </c>
      <c r="E2" s="3" t="s">
        <v>515</v>
      </c>
      <c r="F2" s="3" t="s">
        <v>547</v>
      </c>
      <c r="G2" s="3" t="s">
        <v>548</v>
      </c>
      <c r="H2" s="4" t="s">
        <v>549</v>
      </c>
      <c r="I2" s="36" t="s">
        <v>522</v>
      </c>
      <c r="K2" s="27"/>
    </row>
    <row r="3" spans="1:9">
      <c r="A3" s="13">
        <v>43096</v>
      </c>
      <c r="B3" s="13"/>
      <c r="C3" s="9">
        <v>20000000</v>
      </c>
      <c r="D3" s="9"/>
      <c r="E3" s="9"/>
      <c r="F3" s="9"/>
      <c r="G3" s="9"/>
      <c r="H3" s="9"/>
      <c r="I3" s="9"/>
    </row>
    <row r="4" spans="1:9">
      <c r="A4" s="13"/>
      <c r="B4" s="13">
        <v>43097</v>
      </c>
      <c r="C4" s="9"/>
      <c r="D4" s="9"/>
      <c r="E4" s="9">
        <v>400000</v>
      </c>
      <c r="F4" s="9"/>
      <c r="G4" s="9">
        <v>800000</v>
      </c>
      <c r="H4" s="9"/>
      <c r="I4" s="9"/>
    </row>
    <row r="5" spans="1:9">
      <c r="A5" s="13"/>
      <c r="B5" s="13"/>
      <c r="C5" s="9"/>
      <c r="D5" s="9"/>
      <c r="E5" s="9"/>
      <c r="F5" s="9"/>
      <c r="G5" s="9"/>
      <c r="H5" s="9"/>
      <c r="I5" s="9"/>
    </row>
    <row r="6" spans="1:9">
      <c r="A6" s="13"/>
      <c r="B6" s="13"/>
      <c r="C6" s="9"/>
      <c r="D6" s="9"/>
      <c r="E6" s="9"/>
      <c r="F6" s="9"/>
      <c r="G6" s="9"/>
      <c r="H6" s="9"/>
      <c r="I6" s="9"/>
    </row>
    <row r="7" spans="1:9">
      <c r="A7" s="13"/>
      <c r="B7" s="13"/>
      <c r="C7" s="9"/>
      <c r="D7" s="9"/>
      <c r="E7" s="9"/>
      <c r="F7" s="9"/>
      <c r="G7" s="9"/>
      <c r="H7" s="9"/>
      <c r="I7" s="9"/>
    </row>
    <row r="8" spans="1:9">
      <c r="A8" s="13"/>
      <c r="B8" s="13"/>
      <c r="C8" s="9"/>
      <c r="D8" s="9"/>
      <c r="E8" s="9"/>
      <c r="F8" s="9"/>
      <c r="G8" s="9"/>
      <c r="H8" s="9"/>
      <c r="I8" s="9"/>
    </row>
    <row r="9" spans="1:9">
      <c r="A9" s="13"/>
      <c r="B9" s="13"/>
      <c r="C9" s="9"/>
      <c r="D9" s="9"/>
      <c r="E9" s="9"/>
      <c r="F9" s="9"/>
      <c r="G9" s="9"/>
      <c r="H9" s="9"/>
      <c r="I9" s="9"/>
    </row>
    <row r="10" spans="1:9">
      <c r="A10" s="13"/>
      <c r="B10" s="13"/>
      <c r="C10" s="9"/>
      <c r="D10" s="9"/>
      <c r="E10" s="9"/>
      <c r="F10" s="9"/>
      <c r="G10" s="9"/>
      <c r="H10" s="9"/>
      <c r="I10" s="9"/>
    </row>
    <row r="12" spans="1:9">
      <c r="A12" t="s">
        <v>12</v>
      </c>
      <c r="C12" s="11">
        <f t="shared" ref="C12:I12" si="0">SUM(C3:C11)</f>
        <v>20000000</v>
      </c>
      <c r="D12" s="11">
        <f t="shared" si="0"/>
        <v>0</v>
      </c>
      <c r="E12" s="11">
        <f t="shared" si="0"/>
        <v>400000</v>
      </c>
      <c r="F12" s="11">
        <f t="shared" si="0"/>
        <v>0</v>
      </c>
      <c r="G12" s="11">
        <f t="shared" si="0"/>
        <v>800000</v>
      </c>
      <c r="H12" s="11">
        <f t="shared" si="0"/>
        <v>0</v>
      </c>
      <c r="I12" s="11">
        <f t="shared" si="0"/>
        <v>0</v>
      </c>
    </row>
  </sheetData>
  <mergeCells count="1">
    <mergeCell ref="A1:G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12"/>
  <sheetViews>
    <sheetView workbookViewId="0">
      <selection activeCell="F36" sqref="F36"/>
    </sheetView>
  </sheetViews>
  <sheetFormatPr defaultColWidth="9" defaultRowHeight="13.5"/>
  <cols>
    <col min="1" max="2" width="11.625" customWidth="1"/>
    <col min="3" max="3" width="17.25" customWidth="1"/>
    <col min="4" max="4" width="9.75" customWidth="1"/>
    <col min="5" max="7" width="13.875" customWidth="1"/>
    <col min="8" max="8" width="16.125" customWidth="1"/>
    <col min="9" max="9" width="9.75" customWidth="1"/>
  </cols>
  <sheetData>
    <row r="1" ht="18.75" spans="1:11">
      <c r="A1" s="1" t="s">
        <v>550</v>
      </c>
      <c r="B1" s="1"/>
      <c r="C1" s="1"/>
      <c r="D1" s="1"/>
      <c r="E1" s="1"/>
      <c r="F1" s="1"/>
      <c r="G1" s="1"/>
      <c r="H1" s="2"/>
      <c r="I1" s="2"/>
      <c r="J1" s="12" t="s">
        <v>544</v>
      </c>
      <c r="K1" s="12" t="s">
        <v>545</v>
      </c>
    </row>
    <row r="2" spans="1:11">
      <c r="A2" s="3" t="s">
        <v>2</v>
      </c>
      <c r="B2" s="3" t="s">
        <v>546</v>
      </c>
      <c r="C2" s="3" t="s">
        <v>6</v>
      </c>
      <c r="D2" s="3" t="s">
        <v>513</v>
      </c>
      <c r="E2" s="3" t="s">
        <v>515</v>
      </c>
      <c r="F2" s="3" t="s">
        <v>547</v>
      </c>
      <c r="G2" s="3" t="s">
        <v>548</v>
      </c>
      <c r="H2" s="4" t="s">
        <v>549</v>
      </c>
      <c r="I2" s="4" t="s">
        <v>522</v>
      </c>
      <c r="K2" s="27"/>
    </row>
    <row r="3" spans="1:9">
      <c r="A3" s="13">
        <v>43090</v>
      </c>
      <c r="B3" s="13"/>
      <c r="C3" s="9">
        <v>20000000</v>
      </c>
      <c r="D3" s="9"/>
      <c r="E3" s="9"/>
      <c r="F3" s="9"/>
      <c r="G3" s="9"/>
      <c r="H3" s="9"/>
      <c r="I3" s="9"/>
    </row>
    <row r="4" spans="1:9">
      <c r="A4" s="13"/>
      <c r="B4" s="13">
        <v>43090</v>
      </c>
      <c r="C4" s="9"/>
      <c r="D4" s="9"/>
      <c r="E4" s="9"/>
      <c r="F4" s="9"/>
      <c r="G4" s="9"/>
      <c r="H4" s="9">
        <v>2000000</v>
      </c>
      <c r="I4" s="9"/>
    </row>
    <row r="5" spans="1:9">
      <c r="A5" s="13"/>
      <c r="B5" s="13">
        <v>43094</v>
      </c>
      <c r="C5" s="9"/>
      <c r="D5" s="9"/>
      <c r="E5" s="9"/>
      <c r="F5" s="9">
        <v>450000</v>
      </c>
      <c r="G5" s="9"/>
      <c r="H5" s="9"/>
      <c r="I5" s="9"/>
    </row>
    <row r="6" spans="1:9">
      <c r="A6" s="13"/>
      <c r="B6" s="13"/>
      <c r="C6" s="9"/>
      <c r="D6" s="9"/>
      <c r="E6" s="9"/>
      <c r="F6" s="9"/>
      <c r="G6" s="9"/>
      <c r="H6" s="9"/>
      <c r="I6" s="9"/>
    </row>
    <row r="7" spans="1:9">
      <c r="A7" s="13"/>
      <c r="B7" s="13"/>
      <c r="C7" s="9"/>
      <c r="D7" s="9"/>
      <c r="E7" s="9"/>
      <c r="F7" s="9"/>
      <c r="G7" s="9"/>
      <c r="H7" s="9"/>
      <c r="I7" s="9"/>
    </row>
    <row r="8" spans="1:9">
      <c r="A8" s="13"/>
      <c r="B8" s="13"/>
      <c r="C8" s="9"/>
      <c r="D8" s="9"/>
      <c r="E8" s="9"/>
      <c r="F8" s="9"/>
      <c r="G8" s="9"/>
      <c r="H8" s="9"/>
      <c r="I8" s="9"/>
    </row>
    <row r="9" spans="1:9">
      <c r="A9" s="13"/>
      <c r="B9" s="13"/>
      <c r="C9" s="9"/>
      <c r="D9" s="9"/>
      <c r="E9" s="9"/>
      <c r="F9" s="9"/>
      <c r="G9" s="9"/>
      <c r="H9" s="9"/>
      <c r="I9" s="9"/>
    </row>
    <row r="10" spans="1:9">
      <c r="A10" s="13"/>
      <c r="B10" s="13"/>
      <c r="C10" s="9"/>
      <c r="D10" s="9"/>
      <c r="E10" s="9"/>
      <c r="F10" s="9"/>
      <c r="G10" s="9"/>
      <c r="H10" s="9"/>
      <c r="I10" s="9"/>
    </row>
    <row r="12" spans="1:9">
      <c r="A12" t="s">
        <v>12</v>
      </c>
      <c r="C12" s="11">
        <f t="shared" ref="C12:I12" si="0">SUM(C3:C11)</f>
        <v>20000000</v>
      </c>
      <c r="D12" s="11">
        <f t="shared" si="0"/>
        <v>0</v>
      </c>
      <c r="E12" s="11">
        <f t="shared" si="0"/>
        <v>0</v>
      </c>
      <c r="F12" s="11">
        <f t="shared" si="0"/>
        <v>450000</v>
      </c>
      <c r="G12" s="11">
        <f t="shared" si="0"/>
        <v>0</v>
      </c>
      <c r="H12" s="11">
        <f t="shared" si="0"/>
        <v>2000000</v>
      </c>
      <c r="I12" s="11">
        <f t="shared" si="0"/>
        <v>0</v>
      </c>
    </row>
  </sheetData>
  <mergeCells count="1">
    <mergeCell ref="A1:G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R12"/>
  <sheetViews>
    <sheetView workbookViewId="0">
      <selection activeCell="J1" sqref="J1"/>
    </sheetView>
  </sheetViews>
  <sheetFormatPr defaultColWidth="9" defaultRowHeight="13.5"/>
  <cols>
    <col min="1" max="2" width="11.625" customWidth="1"/>
    <col min="3" max="4" width="17.25" customWidth="1"/>
    <col min="5" max="5" width="13.875" customWidth="1"/>
    <col min="6" max="6" width="16.125" customWidth="1"/>
    <col min="7" max="7" width="15.75" customWidth="1"/>
    <col min="8" max="9" width="16.125" customWidth="1"/>
  </cols>
  <sheetData>
    <row r="1" ht="18.75" spans="1:18">
      <c r="A1" s="1" t="s">
        <v>551</v>
      </c>
      <c r="B1" s="1"/>
      <c r="C1" s="1"/>
      <c r="D1" s="1"/>
      <c r="E1" s="1"/>
      <c r="F1" s="1"/>
      <c r="G1" s="1"/>
      <c r="H1" s="2"/>
      <c r="I1" s="2"/>
      <c r="J1" s="12" t="s">
        <v>544</v>
      </c>
      <c r="K1" s="12" t="s">
        <v>545</v>
      </c>
      <c r="L1" s="30"/>
      <c r="M1" s="30"/>
      <c r="N1" s="30"/>
      <c r="O1" s="30"/>
      <c r="P1" s="30"/>
      <c r="Q1" s="30"/>
      <c r="R1" s="30"/>
    </row>
    <row r="2" spans="1:18">
      <c r="A2" s="3" t="s">
        <v>2</v>
      </c>
      <c r="B2" s="3" t="s">
        <v>546</v>
      </c>
      <c r="C2" s="3" t="s">
        <v>6</v>
      </c>
      <c r="D2" s="3" t="s">
        <v>513</v>
      </c>
      <c r="E2" s="3" t="s">
        <v>515</v>
      </c>
      <c r="F2" s="3" t="s">
        <v>547</v>
      </c>
      <c r="G2" s="3" t="s">
        <v>548</v>
      </c>
      <c r="H2" s="4" t="s">
        <v>549</v>
      </c>
      <c r="I2" s="4" t="s">
        <v>522</v>
      </c>
      <c r="K2" s="27"/>
      <c r="L2" s="31"/>
      <c r="M2" s="31"/>
      <c r="N2" s="32"/>
      <c r="O2" s="33"/>
      <c r="P2" s="33"/>
      <c r="Q2" s="27"/>
      <c r="R2" s="34"/>
    </row>
    <row r="3" spans="1:9">
      <c r="A3" s="13">
        <v>43068</v>
      </c>
      <c r="B3" s="13">
        <v>43068</v>
      </c>
      <c r="C3" s="9">
        <v>10000000</v>
      </c>
      <c r="D3" s="9"/>
      <c r="E3" s="9">
        <v>120000</v>
      </c>
      <c r="F3" s="9"/>
      <c r="G3" s="9">
        <v>180000</v>
      </c>
      <c r="H3" s="9"/>
      <c r="I3" s="9"/>
    </row>
    <row r="4" spans="1:9">
      <c r="A4" s="13">
        <v>43074</v>
      </c>
      <c r="B4" s="13">
        <v>43074</v>
      </c>
      <c r="C4" s="9">
        <v>10000000</v>
      </c>
      <c r="D4" s="9"/>
      <c r="E4" s="9">
        <v>120000</v>
      </c>
      <c r="F4" s="9"/>
      <c r="G4" s="9">
        <v>180000</v>
      </c>
      <c r="H4" s="9"/>
      <c r="I4" s="9"/>
    </row>
    <row r="5" spans="1:9">
      <c r="A5" s="13"/>
      <c r="B5" s="13">
        <v>43094</v>
      </c>
      <c r="C5" s="9"/>
      <c r="D5" s="9"/>
      <c r="E5" s="9">
        <v>120000</v>
      </c>
      <c r="F5" s="9"/>
      <c r="G5" s="9">
        <v>180000</v>
      </c>
      <c r="H5" s="9"/>
      <c r="I5" s="9"/>
    </row>
    <row r="6" spans="1:9">
      <c r="A6" s="13"/>
      <c r="B6" s="13">
        <v>43105</v>
      </c>
      <c r="C6" s="9"/>
      <c r="D6" s="9"/>
      <c r="E6" s="9">
        <v>120000</v>
      </c>
      <c r="F6" s="9"/>
      <c r="G6" s="9">
        <v>180000</v>
      </c>
      <c r="H6" s="9"/>
      <c r="I6" s="9"/>
    </row>
    <row r="7" spans="1:9">
      <c r="A7" s="13"/>
      <c r="B7" s="13"/>
      <c r="C7" s="9"/>
      <c r="D7" s="9"/>
      <c r="E7" s="9"/>
      <c r="F7" s="9"/>
      <c r="G7" s="9"/>
      <c r="H7" s="9"/>
      <c r="I7" s="9"/>
    </row>
    <row r="8" spans="1:9">
      <c r="A8" s="13"/>
      <c r="B8" s="13"/>
      <c r="C8" s="9"/>
      <c r="D8" s="9"/>
      <c r="E8" s="9"/>
      <c r="F8" s="9"/>
      <c r="G8" s="9"/>
      <c r="H8" s="9"/>
      <c r="I8" s="9"/>
    </row>
    <row r="9" spans="1:9">
      <c r="A9" s="13"/>
      <c r="B9" s="13"/>
      <c r="C9" s="9"/>
      <c r="D9" s="9"/>
      <c r="E9" s="9"/>
      <c r="F9" s="9"/>
      <c r="G9" s="9"/>
      <c r="H9" s="9"/>
      <c r="I9" s="9"/>
    </row>
    <row r="10" spans="1:9">
      <c r="A10" s="13"/>
      <c r="B10" s="13"/>
      <c r="C10" s="9"/>
      <c r="D10" s="9"/>
      <c r="E10" s="9"/>
      <c r="F10" s="9"/>
      <c r="G10" s="9"/>
      <c r="H10" s="9"/>
      <c r="I10" s="9"/>
    </row>
    <row r="12" spans="1:9">
      <c r="A12" t="s">
        <v>12</v>
      </c>
      <c r="C12" s="11">
        <f t="shared" ref="C12:I12" si="0">SUM(C3:C11)</f>
        <v>20000000</v>
      </c>
      <c r="D12" s="11">
        <f t="shared" si="0"/>
        <v>0</v>
      </c>
      <c r="E12" s="11">
        <f t="shared" si="0"/>
        <v>480000</v>
      </c>
      <c r="F12" s="11">
        <f t="shared" si="0"/>
        <v>0</v>
      </c>
      <c r="G12" s="11">
        <f t="shared" si="0"/>
        <v>720000</v>
      </c>
      <c r="H12" s="11">
        <f t="shared" si="0"/>
        <v>0</v>
      </c>
      <c r="I12" s="11">
        <f t="shared" si="0"/>
        <v>0</v>
      </c>
    </row>
  </sheetData>
  <mergeCells count="1">
    <mergeCell ref="A1:G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R12"/>
  <sheetViews>
    <sheetView workbookViewId="0">
      <selection activeCell="J1" sqref="J1"/>
    </sheetView>
  </sheetViews>
  <sheetFormatPr defaultColWidth="9" defaultRowHeight="13.5"/>
  <cols>
    <col min="1" max="2" width="11.625" customWidth="1"/>
    <col min="3" max="4" width="17.25" customWidth="1"/>
    <col min="5" max="5" width="13.875" customWidth="1"/>
    <col min="6" max="6" width="16.125" customWidth="1"/>
    <col min="7" max="7" width="15.75" customWidth="1"/>
    <col min="8" max="9" width="16.125" customWidth="1"/>
  </cols>
  <sheetData>
    <row r="1" ht="18.75" spans="1:18">
      <c r="A1" s="1" t="s">
        <v>552</v>
      </c>
      <c r="B1" s="1"/>
      <c r="C1" s="1"/>
      <c r="D1" s="1"/>
      <c r="E1" s="1"/>
      <c r="F1" s="1"/>
      <c r="G1" s="1"/>
      <c r="H1" s="2"/>
      <c r="I1" s="2"/>
      <c r="J1" s="12" t="s">
        <v>544</v>
      </c>
      <c r="K1" s="12" t="s">
        <v>545</v>
      </c>
      <c r="L1" s="30"/>
      <c r="M1" s="30"/>
      <c r="N1" s="30"/>
      <c r="O1" s="30"/>
      <c r="P1" s="30"/>
      <c r="Q1" s="30"/>
      <c r="R1" s="30"/>
    </row>
    <row r="2" spans="1:18">
      <c r="A2" s="3" t="s">
        <v>2</v>
      </c>
      <c r="B2" s="3" t="s">
        <v>546</v>
      </c>
      <c r="C2" s="3" t="s">
        <v>6</v>
      </c>
      <c r="D2" s="3" t="s">
        <v>513</v>
      </c>
      <c r="E2" s="3" t="s">
        <v>515</v>
      </c>
      <c r="F2" s="3" t="s">
        <v>547</v>
      </c>
      <c r="G2" s="3" t="s">
        <v>548</v>
      </c>
      <c r="H2" s="4" t="s">
        <v>549</v>
      </c>
      <c r="I2" s="4" t="s">
        <v>522</v>
      </c>
      <c r="K2" s="27"/>
      <c r="L2" s="31"/>
      <c r="M2" s="31"/>
      <c r="N2" s="32"/>
      <c r="O2" s="33"/>
      <c r="P2" s="33"/>
      <c r="Q2" s="27"/>
      <c r="R2" s="34"/>
    </row>
    <row r="3" spans="1:9">
      <c r="A3" s="13">
        <v>43063</v>
      </c>
      <c r="B3" s="13"/>
      <c r="C3" s="9">
        <v>20000000</v>
      </c>
      <c r="D3" s="9"/>
      <c r="E3" s="9"/>
      <c r="F3" s="9"/>
      <c r="G3" s="9"/>
      <c r="H3" s="9"/>
      <c r="I3" s="9"/>
    </row>
    <row r="4" spans="1:9">
      <c r="A4" s="13"/>
      <c r="B4" s="13">
        <v>43067</v>
      </c>
      <c r="C4" s="9"/>
      <c r="D4" s="9"/>
      <c r="E4" s="9"/>
      <c r="F4" s="9"/>
      <c r="G4" s="9">
        <v>600000</v>
      </c>
      <c r="H4" s="9"/>
      <c r="I4" s="9"/>
    </row>
    <row r="5" spans="1:9">
      <c r="A5" s="13"/>
      <c r="B5" s="13">
        <v>43067</v>
      </c>
      <c r="C5" s="9"/>
      <c r="D5" s="9"/>
      <c r="E5" s="9"/>
      <c r="F5" s="9"/>
      <c r="G5" s="9">
        <v>600000</v>
      </c>
      <c r="H5" s="9"/>
      <c r="I5" s="9"/>
    </row>
    <row r="6" spans="1:9">
      <c r="A6" s="13"/>
      <c r="B6" s="13">
        <v>43067</v>
      </c>
      <c r="C6" s="9"/>
      <c r="D6" s="9"/>
      <c r="E6" s="9"/>
      <c r="F6" s="9"/>
      <c r="G6" s="9">
        <v>300000</v>
      </c>
      <c r="H6" s="9"/>
      <c r="I6" s="9"/>
    </row>
    <row r="7" spans="1:9">
      <c r="A7" s="13"/>
      <c r="B7" s="13">
        <v>43089</v>
      </c>
      <c r="C7" s="9"/>
      <c r="D7" s="9"/>
      <c r="E7" s="9">
        <v>120000</v>
      </c>
      <c r="F7" s="9">
        <v>30000</v>
      </c>
      <c r="G7" s="9"/>
      <c r="H7" s="9"/>
      <c r="I7" s="9"/>
    </row>
    <row r="8" spans="1:9">
      <c r="A8" s="13">
        <v>43109</v>
      </c>
      <c r="B8" s="13"/>
      <c r="C8" s="9">
        <v>20000000</v>
      </c>
      <c r="D8" s="9"/>
      <c r="E8" s="9"/>
      <c r="F8" s="9"/>
      <c r="G8" s="9"/>
      <c r="H8" s="9"/>
      <c r="I8" s="9"/>
    </row>
    <row r="9" spans="1:9">
      <c r="A9" s="13"/>
      <c r="B9" s="13"/>
      <c r="C9" s="9"/>
      <c r="D9" s="9"/>
      <c r="E9" s="9"/>
      <c r="F9" s="9"/>
      <c r="G9" s="9"/>
      <c r="H9" s="9"/>
      <c r="I9" s="9"/>
    </row>
    <row r="10" spans="1:9">
      <c r="A10" s="13"/>
      <c r="B10" s="13"/>
      <c r="C10" s="9"/>
      <c r="D10" s="9"/>
      <c r="E10" s="9"/>
      <c r="F10" s="9"/>
      <c r="G10" s="9"/>
      <c r="H10" s="9"/>
      <c r="I10" s="9"/>
    </row>
    <row r="12" spans="1:9">
      <c r="A12" t="s">
        <v>12</v>
      </c>
      <c r="C12" s="11">
        <f t="shared" ref="C12:I12" si="0">SUM(C3:C11)</f>
        <v>40000000</v>
      </c>
      <c r="D12" s="11">
        <f t="shared" si="0"/>
        <v>0</v>
      </c>
      <c r="E12" s="11">
        <f t="shared" si="0"/>
        <v>120000</v>
      </c>
      <c r="F12" s="11">
        <f t="shared" si="0"/>
        <v>30000</v>
      </c>
      <c r="G12" s="11">
        <f t="shared" si="0"/>
        <v>1500000</v>
      </c>
      <c r="H12" s="11">
        <f t="shared" si="0"/>
        <v>0</v>
      </c>
      <c r="I12" s="11">
        <f t="shared" si="0"/>
        <v>0</v>
      </c>
    </row>
  </sheetData>
  <mergeCells count="1">
    <mergeCell ref="A1:G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12"/>
  <sheetViews>
    <sheetView workbookViewId="0">
      <selection activeCell="E7" sqref="E7"/>
    </sheetView>
  </sheetViews>
  <sheetFormatPr defaultColWidth="9" defaultRowHeight="13.5"/>
  <cols>
    <col min="1" max="2" width="11.625" customWidth="1"/>
    <col min="3" max="3" width="17.25" customWidth="1"/>
    <col min="5" max="7" width="13.875" customWidth="1"/>
  </cols>
  <sheetData>
    <row r="1" ht="18.75" spans="1:11">
      <c r="A1" s="1" t="s">
        <v>553</v>
      </c>
      <c r="B1" s="1"/>
      <c r="C1" s="1"/>
      <c r="D1" s="1"/>
      <c r="E1" s="1"/>
      <c r="F1" s="1"/>
      <c r="G1" s="1"/>
      <c r="H1" s="2"/>
      <c r="I1" s="2"/>
      <c r="J1" s="12" t="s">
        <v>544</v>
      </c>
      <c r="K1" s="12" t="s">
        <v>545</v>
      </c>
    </row>
    <row r="2" spans="1:11">
      <c r="A2" s="3" t="s">
        <v>2</v>
      </c>
      <c r="B2" s="3" t="s">
        <v>546</v>
      </c>
      <c r="C2" s="3" t="s">
        <v>6</v>
      </c>
      <c r="D2" s="3" t="s">
        <v>513</v>
      </c>
      <c r="E2" s="3" t="s">
        <v>515</v>
      </c>
      <c r="F2" s="3" t="s">
        <v>547</v>
      </c>
      <c r="G2" s="3" t="s">
        <v>548</v>
      </c>
      <c r="H2" s="4" t="s">
        <v>549</v>
      </c>
      <c r="I2" s="4" t="s">
        <v>522</v>
      </c>
      <c r="K2" s="27"/>
    </row>
    <row r="3" spans="1:9">
      <c r="A3" s="13">
        <v>43059</v>
      </c>
      <c r="B3" s="13"/>
      <c r="C3" s="9">
        <v>5821832.25</v>
      </c>
      <c r="D3" s="9"/>
      <c r="E3" s="9"/>
      <c r="F3" s="9"/>
      <c r="G3" s="9"/>
      <c r="H3" s="9"/>
      <c r="I3" s="9"/>
    </row>
    <row r="4" spans="1:9">
      <c r="A4" s="13"/>
      <c r="B4" s="13">
        <v>43059</v>
      </c>
      <c r="C4" s="9"/>
      <c r="D4" s="9"/>
      <c r="E4" s="9"/>
      <c r="F4" s="9">
        <v>116436.65</v>
      </c>
      <c r="G4" s="9"/>
      <c r="H4" s="9"/>
      <c r="I4" s="9"/>
    </row>
    <row r="5" spans="1:9">
      <c r="A5" s="13"/>
      <c r="B5" s="13">
        <v>43060</v>
      </c>
      <c r="C5" s="9"/>
      <c r="D5" s="9"/>
      <c r="E5" s="9">
        <v>58218.32</v>
      </c>
      <c r="F5" s="9"/>
      <c r="G5" s="9"/>
      <c r="H5" s="9"/>
      <c r="I5" s="9"/>
    </row>
    <row r="6" spans="1:9">
      <c r="A6" s="13"/>
      <c r="B6" s="13">
        <v>43089</v>
      </c>
      <c r="C6" s="9"/>
      <c r="D6" s="9"/>
      <c r="E6" s="9">
        <v>58218.32</v>
      </c>
      <c r="F6" s="9"/>
      <c r="G6" s="9"/>
      <c r="H6" s="9"/>
      <c r="I6" s="9"/>
    </row>
    <row r="7" spans="1:9">
      <c r="A7" s="13">
        <v>43098</v>
      </c>
      <c r="B7" s="13"/>
      <c r="C7" s="9">
        <v>2000000</v>
      </c>
      <c r="D7" s="9"/>
      <c r="E7" s="9"/>
      <c r="F7" s="9"/>
      <c r="G7" s="9"/>
      <c r="H7" s="9"/>
      <c r="I7" s="9"/>
    </row>
    <row r="8" spans="1:9">
      <c r="A8" s="13"/>
      <c r="B8" s="13">
        <v>43098</v>
      </c>
      <c r="C8" s="9"/>
      <c r="D8" s="9"/>
      <c r="E8" s="9">
        <v>20000</v>
      </c>
      <c r="F8" s="9">
        <v>40000</v>
      </c>
      <c r="G8" s="9"/>
      <c r="H8" s="9"/>
      <c r="I8" s="9"/>
    </row>
    <row r="9" spans="1:9">
      <c r="A9" s="13"/>
      <c r="B9" s="13"/>
      <c r="C9" s="9"/>
      <c r="D9" s="9"/>
      <c r="E9" s="9"/>
      <c r="F9" s="9"/>
      <c r="G9" s="9"/>
      <c r="H9" s="9"/>
      <c r="I9" s="9"/>
    </row>
    <row r="10" spans="1:9">
      <c r="A10" s="13"/>
      <c r="B10" s="13"/>
      <c r="C10" s="9"/>
      <c r="D10" s="9"/>
      <c r="E10" s="9"/>
      <c r="F10" s="9"/>
      <c r="G10" s="9"/>
      <c r="H10" s="9"/>
      <c r="I10" s="9"/>
    </row>
    <row r="12" spans="1:9">
      <c r="A12" t="s">
        <v>12</v>
      </c>
      <c r="C12" s="11">
        <f t="shared" ref="C12:I12" si="0">SUM(C3:C11)</f>
        <v>7821832.25</v>
      </c>
      <c r="D12" s="11">
        <f t="shared" si="0"/>
        <v>0</v>
      </c>
      <c r="E12" s="11">
        <f t="shared" si="0"/>
        <v>136436.64</v>
      </c>
      <c r="F12" s="11">
        <f t="shared" si="0"/>
        <v>156436.65</v>
      </c>
      <c r="G12" s="11">
        <f t="shared" si="0"/>
        <v>0</v>
      </c>
      <c r="H12" s="11">
        <f t="shared" si="0"/>
        <v>0</v>
      </c>
      <c r="I12" s="11">
        <f t="shared" si="0"/>
        <v>0</v>
      </c>
    </row>
  </sheetData>
  <mergeCells count="1">
    <mergeCell ref="A1:G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O12"/>
  <sheetViews>
    <sheetView workbookViewId="0">
      <selection activeCell="K1" sqref="K1"/>
    </sheetView>
  </sheetViews>
  <sheetFormatPr defaultColWidth="9" defaultRowHeight="13.5"/>
  <cols>
    <col min="1" max="2" width="11.625" customWidth="1"/>
    <col min="3" max="4" width="17.25" customWidth="1"/>
    <col min="5" max="5" width="13.875" customWidth="1"/>
    <col min="6" max="6" width="16.125" customWidth="1"/>
    <col min="7" max="7" width="13.875" customWidth="1"/>
    <col min="8" max="8" width="16.125" customWidth="1"/>
  </cols>
  <sheetData>
    <row r="1" ht="18.75" spans="1:11">
      <c r="A1" s="1" t="s">
        <v>554</v>
      </c>
      <c r="B1" s="1"/>
      <c r="C1" s="1"/>
      <c r="D1" s="1"/>
      <c r="E1" s="1"/>
      <c r="F1" s="1"/>
      <c r="G1" s="1"/>
      <c r="H1" s="2"/>
      <c r="I1" s="2"/>
      <c r="J1" s="12" t="s">
        <v>544</v>
      </c>
      <c r="K1" s="12" t="s">
        <v>545</v>
      </c>
    </row>
    <row r="2" spans="1:15">
      <c r="A2" s="3" t="s">
        <v>2</v>
      </c>
      <c r="B2" s="3" t="s">
        <v>546</v>
      </c>
      <c r="C2" s="3" t="s">
        <v>6</v>
      </c>
      <c r="D2" s="3" t="s">
        <v>513</v>
      </c>
      <c r="E2" s="3" t="s">
        <v>515</v>
      </c>
      <c r="F2" s="3" t="s">
        <v>547</v>
      </c>
      <c r="G2" s="3" t="s">
        <v>548</v>
      </c>
      <c r="H2" s="4" t="s">
        <v>549</v>
      </c>
      <c r="I2" s="4" t="s">
        <v>522</v>
      </c>
      <c r="K2" s="27"/>
      <c r="O2" s="35"/>
    </row>
    <row r="3" spans="1:9">
      <c r="A3" s="13">
        <v>43059</v>
      </c>
      <c r="B3" s="13"/>
      <c r="C3" s="9">
        <v>25000000</v>
      </c>
      <c r="D3" s="9"/>
      <c r="E3" s="9"/>
      <c r="F3" s="9"/>
      <c r="G3" s="9"/>
      <c r="H3" s="9"/>
      <c r="I3" s="9"/>
    </row>
    <row r="4" spans="1:9">
      <c r="A4" s="13"/>
      <c r="B4" s="13">
        <v>43059</v>
      </c>
      <c r="C4" s="9"/>
      <c r="D4" s="9"/>
      <c r="E4" s="9">
        <v>437500</v>
      </c>
      <c r="F4" s="9"/>
      <c r="G4" s="9">
        <v>312500</v>
      </c>
      <c r="H4" s="9"/>
      <c r="I4" s="9"/>
    </row>
    <row r="5" spans="1:9">
      <c r="A5" s="13"/>
      <c r="B5" s="13">
        <v>43104</v>
      </c>
      <c r="C5" s="9"/>
      <c r="D5" s="9">
        <v>25000000</v>
      </c>
      <c r="E5" s="9"/>
      <c r="F5" s="9"/>
      <c r="G5" s="9"/>
      <c r="H5" s="9"/>
      <c r="I5" s="9"/>
    </row>
    <row r="6" spans="1:9">
      <c r="A6" s="13"/>
      <c r="B6" s="13"/>
      <c r="C6" s="9"/>
      <c r="D6" s="9"/>
      <c r="E6" s="9"/>
      <c r="F6" s="9"/>
      <c r="G6" s="9"/>
      <c r="H6" s="9"/>
      <c r="I6" s="9"/>
    </row>
    <row r="7" spans="1:9">
      <c r="A7" s="13"/>
      <c r="B7" s="13"/>
      <c r="C7" s="9"/>
      <c r="D7" s="9"/>
      <c r="E7" s="9"/>
      <c r="F7" s="9"/>
      <c r="G7" s="9"/>
      <c r="H7" s="9"/>
      <c r="I7" s="9"/>
    </row>
    <row r="8" spans="1:9">
      <c r="A8" s="13"/>
      <c r="B8" s="13"/>
      <c r="C8" s="9"/>
      <c r="D8" s="9"/>
      <c r="E8" s="9"/>
      <c r="F8" s="9"/>
      <c r="G8" s="9"/>
      <c r="H8" s="9"/>
      <c r="I8" s="9"/>
    </row>
    <row r="9" spans="1:9">
      <c r="A9" s="13"/>
      <c r="B9" s="13"/>
      <c r="C9" s="9"/>
      <c r="D9" s="9"/>
      <c r="E9" s="9"/>
      <c r="F9" s="9"/>
      <c r="G9" s="9"/>
      <c r="H9" s="9"/>
      <c r="I9" s="9"/>
    </row>
    <row r="10" spans="1:9">
      <c r="A10" s="13"/>
      <c r="B10" s="13"/>
      <c r="C10" s="9"/>
      <c r="D10" s="9"/>
      <c r="E10" s="9"/>
      <c r="F10" s="9"/>
      <c r="G10" s="9"/>
      <c r="H10" s="9"/>
      <c r="I10" s="9"/>
    </row>
    <row r="12" spans="1:9">
      <c r="A12" t="s">
        <v>12</v>
      </c>
      <c r="C12" s="11">
        <f t="shared" ref="C12:I12" si="0">SUM(C3:C11)</f>
        <v>25000000</v>
      </c>
      <c r="D12" s="11">
        <f t="shared" si="0"/>
        <v>25000000</v>
      </c>
      <c r="E12" s="11">
        <f t="shared" si="0"/>
        <v>437500</v>
      </c>
      <c r="F12" s="11">
        <f t="shared" si="0"/>
        <v>0</v>
      </c>
      <c r="G12" s="11">
        <f t="shared" si="0"/>
        <v>312500</v>
      </c>
      <c r="H12" s="11">
        <f t="shared" si="0"/>
        <v>0</v>
      </c>
      <c r="I12" s="11">
        <f t="shared" si="0"/>
        <v>0</v>
      </c>
    </row>
  </sheetData>
  <mergeCells count="1">
    <mergeCell ref="A1:G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R12"/>
  <sheetViews>
    <sheetView workbookViewId="0">
      <selection activeCell="K1" sqref="K1"/>
    </sheetView>
  </sheetViews>
  <sheetFormatPr defaultColWidth="9" defaultRowHeight="13.5"/>
  <cols>
    <col min="1" max="2" width="11.625" customWidth="1"/>
    <col min="3" max="4" width="17.25" customWidth="1"/>
    <col min="5" max="5" width="13.875" customWidth="1"/>
    <col min="6" max="6" width="16.125" customWidth="1"/>
    <col min="7" max="7" width="7.75" customWidth="1"/>
    <col min="8" max="9" width="16.125" customWidth="1"/>
  </cols>
  <sheetData>
    <row r="1" ht="18.75" spans="1:18">
      <c r="A1" s="1" t="s">
        <v>555</v>
      </c>
      <c r="B1" s="1"/>
      <c r="C1" s="1"/>
      <c r="D1" s="1"/>
      <c r="E1" s="1"/>
      <c r="F1" s="1"/>
      <c r="G1" s="1"/>
      <c r="H1" s="2"/>
      <c r="I1" s="2"/>
      <c r="J1" s="12" t="s">
        <v>544</v>
      </c>
      <c r="K1" s="12" t="s">
        <v>545</v>
      </c>
      <c r="L1" s="30"/>
      <c r="M1" s="30"/>
      <c r="N1" s="30"/>
      <c r="O1" s="30"/>
      <c r="P1" s="30"/>
      <c r="Q1" s="30"/>
      <c r="R1" s="30"/>
    </row>
    <row r="2" spans="1:18">
      <c r="A2" s="3" t="s">
        <v>2</v>
      </c>
      <c r="B2" s="3" t="s">
        <v>546</v>
      </c>
      <c r="C2" s="3" t="s">
        <v>6</v>
      </c>
      <c r="D2" s="3" t="s">
        <v>513</v>
      </c>
      <c r="E2" s="3" t="s">
        <v>515</v>
      </c>
      <c r="F2" s="3" t="s">
        <v>547</v>
      </c>
      <c r="G2" s="3" t="s">
        <v>548</v>
      </c>
      <c r="H2" s="4" t="s">
        <v>549</v>
      </c>
      <c r="I2" s="4" t="s">
        <v>522</v>
      </c>
      <c r="K2" s="27"/>
      <c r="L2" s="31"/>
      <c r="M2" s="31"/>
      <c r="N2" s="32"/>
      <c r="O2" s="33"/>
      <c r="P2" s="33"/>
      <c r="Q2" s="27"/>
      <c r="R2" s="34"/>
    </row>
    <row r="3" spans="1:9">
      <c r="A3" s="13">
        <v>43055</v>
      </c>
      <c r="B3" s="13">
        <v>43055</v>
      </c>
      <c r="C3" s="9">
        <v>50000000</v>
      </c>
      <c r="D3" s="9"/>
      <c r="E3" s="9">
        <v>375000</v>
      </c>
      <c r="F3" s="9">
        <v>1250000</v>
      </c>
      <c r="G3" s="9"/>
      <c r="H3" s="9">
        <v>5000000</v>
      </c>
      <c r="I3" s="9"/>
    </row>
    <row r="4" spans="1:9">
      <c r="A4" s="13"/>
      <c r="B4" s="13">
        <v>43089</v>
      </c>
      <c r="C4" s="9"/>
      <c r="D4" s="9"/>
      <c r="E4" s="9">
        <v>375000</v>
      </c>
      <c r="F4" s="9"/>
      <c r="G4" s="9"/>
      <c r="H4" s="9"/>
      <c r="I4" s="9"/>
    </row>
    <row r="5" spans="1:9">
      <c r="A5" s="13"/>
      <c r="B5" s="13"/>
      <c r="C5" s="9"/>
      <c r="D5" s="9"/>
      <c r="E5" s="9"/>
      <c r="F5" s="9"/>
      <c r="G5" s="9"/>
      <c r="H5" s="9"/>
      <c r="I5" s="9"/>
    </row>
    <row r="6" spans="1:9">
      <c r="A6" s="13"/>
      <c r="B6" s="13"/>
      <c r="C6" s="9"/>
      <c r="D6" s="9"/>
      <c r="E6" s="9"/>
      <c r="F6" s="9"/>
      <c r="G6" s="9"/>
      <c r="H6" s="9"/>
      <c r="I6" s="9"/>
    </row>
    <row r="7" spans="1:9">
      <c r="A7" s="13"/>
      <c r="B7" s="13"/>
      <c r="C7" s="9"/>
      <c r="D7" s="9"/>
      <c r="E7" s="9"/>
      <c r="F7" s="9"/>
      <c r="G7" s="9"/>
      <c r="H7" s="9"/>
      <c r="I7" s="9"/>
    </row>
    <row r="8" spans="1:9">
      <c r="A8" s="13"/>
      <c r="B8" s="13"/>
      <c r="C8" s="9"/>
      <c r="D8" s="9"/>
      <c r="E8" s="9"/>
      <c r="F8" s="9"/>
      <c r="G8" s="9"/>
      <c r="H8" s="9"/>
      <c r="I8" s="9"/>
    </row>
    <row r="9" spans="1:9">
      <c r="A9" s="13"/>
      <c r="B9" s="13"/>
      <c r="C9" s="9"/>
      <c r="D9" s="9"/>
      <c r="E9" s="9"/>
      <c r="F9" s="9"/>
      <c r="G9" s="9"/>
      <c r="H9" s="9"/>
      <c r="I9" s="9"/>
    </row>
    <row r="10" spans="1:9">
      <c r="A10" s="13"/>
      <c r="B10" s="13"/>
      <c r="C10" s="9"/>
      <c r="D10" s="9"/>
      <c r="E10" s="9"/>
      <c r="F10" s="9"/>
      <c r="G10" s="9"/>
      <c r="H10" s="9"/>
      <c r="I10" s="9"/>
    </row>
    <row r="12" spans="1:9">
      <c r="A12" t="s">
        <v>12</v>
      </c>
      <c r="C12" s="11">
        <f t="shared" ref="C12:I12" si="0">SUM(C3:C11)</f>
        <v>50000000</v>
      </c>
      <c r="D12" s="11">
        <f t="shared" si="0"/>
        <v>0</v>
      </c>
      <c r="E12" s="11">
        <f t="shared" si="0"/>
        <v>750000</v>
      </c>
      <c r="F12" s="11">
        <f t="shared" si="0"/>
        <v>1250000</v>
      </c>
      <c r="G12" s="11">
        <f t="shared" si="0"/>
        <v>0</v>
      </c>
      <c r="H12" s="11">
        <f t="shared" si="0"/>
        <v>5000000</v>
      </c>
      <c r="I12" s="11">
        <f t="shared" si="0"/>
        <v>0</v>
      </c>
    </row>
  </sheetData>
  <mergeCells count="1">
    <mergeCell ref="A1:G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25"/>
  <sheetViews>
    <sheetView workbookViewId="0">
      <selection activeCell="J1" sqref="J1:K1"/>
    </sheetView>
  </sheetViews>
  <sheetFormatPr defaultColWidth="9" defaultRowHeight="13.5"/>
  <cols>
    <col min="1" max="2" width="15.75" customWidth="1"/>
    <col min="3" max="3" width="16.875" customWidth="1"/>
    <col min="4" max="4" width="18.5" customWidth="1"/>
    <col min="5" max="7" width="15.75" customWidth="1"/>
    <col min="8" max="8" width="17.5" customWidth="1"/>
    <col min="9" max="9" width="15.75" customWidth="1"/>
  </cols>
  <sheetData>
    <row r="1" ht="25.9" customHeight="1" spans="1:11">
      <c r="A1" s="2" t="s">
        <v>556</v>
      </c>
      <c r="B1" s="2"/>
      <c r="C1" s="2"/>
      <c r="D1" s="2"/>
      <c r="E1" s="2"/>
      <c r="F1" s="2"/>
      <c r="G1" s="2"/>
      <c r="H1" s="2"/>
      <c r="I1" s="2"/>
      <c r="J1" s="12" t="s">
        <v>544</v>
      </c>
      <c r="K1" s="12" t="s">
        <v>545</v>
      </c>
    </row>
    <row r="2" spans="1:9">
      <c r="A2" s="3" t="s">
        <v>2</v>
      </c>
      <c r="B2" s="3" t="s">
        <v>557</v>
      </c>
      <c r="C2" s="3" t="s">
        <v>6</v>
      </c>
      <c r="D2" s="3" t="s">
        <v>513</v>
      </c>
      <c r="E2" s="3" t="s">
        <v>515</v>
      </c>
      <c r="F2" s="3" t="s">
        <v>517</v>
      </c>
      <c r="G2" s="3" t="s">
        <v>519</v>
      </c>
      <c r="H2" s="4" t="s">
        <v>521</v>
      </c>
      <c r="I2" s="4" t="s">
        <v>522</v>
      </c>
    </row>
    <row r="3" spans="1:9">
      <c r="A3" s="6">
        <v>42478</v>
      </c>
      <c r="B3" s="6">
        <v>42842</v>
      </c>
      <c r="C3" s="9">
        <v>16500000</v>
      </c>
      <c r="D3" s="9"/>
      <c r="E3" s="9">
        <v>742500</v>
      </c>
      <c r="F3" s="9">
        <v>330000</v>
      </c>
      <c r="G3" s="9">
        <v>165000</v>
      </c>
      <c r="H3" s="9"/>
      <c r="I3" s="8"/>
    </row>
    <row r="4" spans="1:9">
      <c r="A4" s="6"/>
      <c r="B4" s="6">
        <v>42479</v>
      </c>
      <c r="C4" s="9"/>
      <c r="D4" s="9"/>
      <c r="E4" s="9"/>
      <c r="F4" s="9"/>
      <c r="G4" s="9"/>
      <c r="H4" s="9">
        <v>1650000</v>
      </c>
      <c r="I4" s="8"/>
    </row>
    <row r="5" spans="1:9">
      <c r="A5" s="6"/>
      <c r="B5" s="6"/>
      <c r="C5" s="9"/>
      <c r="D5" s="9"/>
      <c r="E5" s="9"/>
      <c r="F5" s="9"/>
      <c r="G5" s="9"/>
      <c r="H5" s="9"/>
      <c r="I5" s="8"/>
    </row>
    <row r="6" spans="1:9">
      <c r="A6" s="6"/>
      <c r="B6" s="6"/>
      <c r="C6" s="9"/>
      <c r="D6" s="9"/>
      <c r="E6" s="9"/>
      <c r="F6" s="9"/>
      <c r="G6" s="9"/>
      <c r="H6" s="9"/>
      <c r="I6" s="8"/>
    </row>
    <row r="7" spans="1:9">
      <c r="A7" s="6">
        <v>42478</v>
      </c>
      <c r="B7" s="6">
        <v>42842</v>
      </c>
      <c r="C7" s="9">
        <v>16500000</v>
      </c>
      <c r="D7" s="9"/>
      <c r="E7" s="9"/>
      <c r="F7" s="9"/>
      <c r="G7" s="9">
        <v>165000</v>
      </c>
      <c r="H7" s="9">
        <v>1650000</v>
      </c>
      <c r="I7" s="8"/>
    </row>
    <row r="8" spans="1:9">
      <c r="A8" s="6"/>
      <c r="B8" s="6">
        <v>42479</v>
      </c>
      <c r="C8" s="9"/>
      <c r="D8" s="9"/>
      <c r="E8" s="9">
        <v>742500</v>
      </c>
      <c r="F8" s="9">
        <v>330000</v>
      </c>
      <c r="G8" s="9"/>
      <c r="H8" s="9"/>
      <c r="I8" s="8"/>
    </row>
    <row r="9" spans="1:9">
      <c r="A9" s="6"/>
      <c r="B9" s="6"/>
      <c r="C9" s="9"/>
      <c r="D9" s="9"/>
      <c r="E9" s="9"/>
      <c r="F9" s="9"/>
      <c r="G9" s="9"/>
      <c r="H9" s="9"/>
      <c r="I9" s="8"/>
    </row>
    <row r="10" spans="1:9">
      <c r="A10" s="6"/>
      <c r="B10" s="6">
        <v>42657</v>
      </c>
      <c r="C10" s="9"/>
      <c r="D10" s="9"/>
      <c r="E10" s="29">
        <f>742500*2</f>
        <v>1485000</v>
      </c>
      <c r="F10" s="9">
        <f>330000*2</f>
        <v>660000</v>
      </c>
      <c r="G10" s="9">
        <f>165000*2</f>
        <v>330000</v>
      </c>
      <c r="H10" s="9"/>
      <c r="I10" s="8"/>
    </row>
    <row r="11" spans="1:9">
      <c r="A11" s="6"/>
      <c r="B11" s="6">
        <v>42839</v>
      </c>
      <c r="C11" s="9"/>
      <c r="D11" s="9">
        <v>33000000</v>
      </c>
      <c r="E11" s="9"/>
      <c r="F11" s="9"/>
      <c r="G11" s="9"/>
      <c r="H11" s="9"/>
      <c r="I11" s="8"/>
    </row>
    <row r="12" spans="1:9">
      <c r="A12" s="6">
        <v>42839</v>
      </c>
      <c r="B12" s="6"/>
      <c r="C12" s="9"/>
      <c r="D12" s="9"/>
      <c r="E12" s="9"/>
      <c r="F12" s="9"/>
      <c r="G12" s="9"/>
      <c r="H12" s="9">
        <v>-3300000</v>
      </c>
      <c r="I12" s="8"/>
    </row>
    <row r="13" spans="1:9">
      <c r="A13" s="6"/>
      <c r="B13" s="6"/>
      <c r="C13" s="9"/>
      <c r="D13" s="9"/>
      <c r="E13" s="9"/>
      <c r="F13" s="9"/>
      <c r="G13" s="9"/>
      <c r="H13" s="9"/>
      <c r="I13" s="8"/>
    </row>
    <row r="14" spans="1:9">
      <c r="A14" s="6"/>
      <c r="B14" s="6"/>
      <c r="C14" s="9"/>
      <c r="D14" s="9"/>
      <c r="E14" s="9"/>
      <c r="F14" s="9"/>
      <c r="G14" s="9"/>
      <c r="H14" s="9"/>
      <c r="I14" s="8"/>
    </row>
    <row r="15" spans="1:9">
      <c r="A15" s="6"/>
      <c r="B15" s="6"/>
      <c r="C15" s="9"/>
      <c r="D15" s="9"/>
      <c r="E15" s="9"/>
      <c r="F15" s="9"/>
      <c r="G15" s="9"/>
      <c r="H15" s="9"/>
      <c r="I15" s="8"/>
    </row>
    <row r="16" spans="1:9">
      <c r="A16" s="6"/>
      <c r="B16" s="6"/>
      <c r="C16" s="9"/>
      <c r="D16" s="9"/>
      <c r="E16" s="9"/>
      <c r="F16" s="9"/>
      <c r="G16" s="9"/>
      <c r="H16" s="9"/>
      <c r="I16" s="8"/>
    </row>
    <row r="17" spans="1:9">
      <c r="A17" s="6"/>
      <c r="B17" s="6"/>
      <c r="C17" s="6"/>
      <c r="D17" s="9"/>
      <c r="E17" s="6"/>
      <c r="F17" s="6"/>
      <c r="G17" s="6"/>
      <c r="H17" s="14"/>
      <c r="I17" s="8"/>
    </row>
    <row r="18" spans="1:9">
      <c r="A18" s="6"/>
      <c r="B18" s="6"/>
      <c r="C18" s="6"/>
      <c r="D18" s="6"/>
      <c r="E18" s="6"/>
      <c r="F18" s="6"/>
      <c r="G18" s="6"/>
      <c r="H18" s="9"/>
      <c r="I18" s="8"/>
    </row>
    <row r="19" spans="1:9">
      <c r="A19" s="6"/>
      <c r="B19" s="6"/>
      <c r="C19" s="6"/>
      <c r="D19" s="6"/>
      <c r="E19" s="6"/>
      <c r="F19" s="6"/>
      <c r="G19" s="6"/>
      <c r="H19" s="6"/>
      <c r="I19" s="8"/>
    </row>
    <row r="20" spans="1:9">
      <c r="A20" t="s">
        <v>558</v>
      </c>
      <c r="C20" s="11">
        <f t="shared" ref="C20:H20" si="0">SUM(C3:C19)</f>
        <v>33000000</v>
      </c>
      <c r="D20" s="11">
        <f t="shared" si="0"/>
        <v>33000000</v>
      </c>
      <c r="E20" s="11">
        <f t="shared" si="0"/>
        <v>2970000</v>
      </c>
      <c r="F20" s="11">
        <f t="shared" si="0"/>
        <v>1320000</v>
      </c>
      <c r="G20" s="11">
        <f t="shared" si="0"/>
        <v>660000</v>
      </c>
      <c r="H20" s="11">
        <f t="shared" si="0"/>
        <v>0</v>
      </c>
      <c r="I20" s="11">
        <f>SUM(I3:I12)</f>
        <v>0</v>
      </c>
    </row>
    <row r="25" spans="4:4">
      <c r="D25" s="11"/>
    </row>
  </sheetData>
  <mergeCells count="1">
    <mergeCell ref="A1:I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20"/>
  <sheetViews>
    <sheetView workbookViewId="0">
      <selection activeCell="A1" sqref="A1:I1"/>
    </sheetView>
  </sheetViews>
  <sheetFormatPr defaultColWidth="9" defaultRowHeight="13.5"/>
  <cols>
    <col min="1" max="2" width="15.75" customWidth="1"/>
    <col min="3" max="3" width="16.875" customWidth="1"/>
    <col min="4" max="4" width="18.5" customWidth="1"/>
    <col min="5" max="7" width="15.75" customWidth="1"/>
    <col min="8" max="8" width="17.5" customWidth="1"/>
    <col min="9" max="9" width="15.75" customWidth="1"/>
  </cols>
  <sheetData>
    <row r="1" ht="25.9" customHeight="1" spans="1:11">
      <c r="A1" s="2" t="s">
        <v>559</v>
      </c>
      <c r="B1" s="2"/>
      <c r="C1" s="2"/>
      <c r="D1" s="2"/>
      <c r="E1" s="2"/>
      <c r="F1" s="2"/>
      <c r="G1" s="2"/>
      <c r="H1" s="2"/>
      <c r="I1" s="2"/>
      <c r="J1" s="12" t="s">
        <v>544</v>
      </c>
      <c r="K1" s="12" t="s">
        <v>545</v>
      </c>
    </row>
    <row r="2" spans="1:9">
      <c r="A2" s="3" t="s">
        <v>2</v>
      </c>
      <c r="B2" s="3" t="s">
        <v>557</v>
      </c>
      <c r="C2" s="3" t="s">
        <v>6</v>
      </c>
      <c r="D2" s="3" t="s">
        <v>513</v>
      </c>
      <c r="E2" s="3" t="s">
        <v>515</v>
      </c>
      <c r="F2" s="3" t="s">
        <v>517</v>
      </c>
      <c r="G2" s="3" t="s">
        <v>519</v>
      </c>
      <c r="H2" s="4" t="s">
        <v>521</v>
      </c>
      <c r="I2" s="4" t="s">
        <v>522</v>
      </c>
    </row>
    <row r="3" spans="1:9">
      <c r="A3" s="6">
        <v>42374</v>
      </c>
      <c r="B3" s="6">
        <v>42376</v>
      </c>
      <c r="C3" s="8">
        <v>20000000</v>
      </c>
      <c r="D3" s="9"/>
      <c r="E3" s="10"/>
      <c r="F3" s="10"/>
      <c r="G3" s="10"/>
      <c r="H3" s="8">
        <v>2000000</v>
      </c>
      <c r="I3" s="8"/>
    </row>
    <row r="4" spans="1:9">
      <c r="A4" s="6">
        <v>42395</v>
      </c>
      <c r="B4" s="6">
        <v>42395</v>
      </c>
      <c r="C4" s="8">
        <v>10000000</v>
      </c>
      <c r="D4" s="9"/>
      <c r="E4" s="10"/>
      <c r="F4" s="10"/>
      <c r="G4" s="10"/>
      <c r="H4" s="8">
        <v>1000000</v>
      </c>
      <c r="I4" s="8"/>
    </row>
    <row r="5" spans="1:9">
      <c r="A5" s="6"/>
      <c r="B5" s="6">
        <v>42395</v>
      </c>
      <c r="C5" s="8"/>
      <c r="D5" s="9"/>
      <c r="E5" s="10">
        <v>1350000</v>
      </c>
      <c r="F5" s="10">
        <v>450000</v>
      </c>
      <c r="G5" s="10">
        <v>1200000</v>
      </c>
      <c r="H5" s="8"/>
      <c r="I5" s="8"/>
    </row>
    <row r="6" spans="1:9">
      <c r="A6" s="6"/>
      <c r="B6" s="6">
        <v>42590</v>
      </c>
      <c r="C6" s="8"/>
      <c r="D6" s="9"/>
      <c r="E6" s="10">
        <v>1350000</v>
      </c>
      <c r="F6" s="10">
        <v>450000</v>
      </c>
      <c r="G6" s="10"/>
      <c r="H6" s="8"/>
      <c r="I6" s="8"/>
    </row>
    <row r="7" spans="1:9">
      <c r="A7" s="6"/>
      <c r="B7" s="6">
        <v>42733</v>
      </c>
      <c r="C7" s="8"/>
      <c r="D7" s="9">
        <v>30000000</v>
      </c>
      <c r="E7" s="10">
        <v>-60000</v>
      </c>
      <c r="F7" s="10"/>
      <c r="G7" s="10"/>
      <c r="H7" s="8">
        <v>-3000000</v>
      </c>
      <c r="I7" s="8"/>
    </row>
    <row r="8" spans="1:9">
      <c r="A8" s="6"/>
      <c r="B8" s="6"/>
      <c r="C8" s="9"/>
      <c r="D8" s="9"/>
      <c r="E8" s="9"/>
      <c r="F8" s="9"/>
      <c r="G8" s="9"/>
      <c r="H8" s="9"/>
      <c r="I8" s="8"/>
    </row>
    <row r="9" spans="1:9">
      <c r="A9" s="6"/>
      <c r="B9" s="6"/>
      <c r="C9" s="9"/>
      <c r="D9" s="9"/>
      <c r="E9" s="9"/>
      <c r="F9" s="9"/>
      <c r="G9" s="9"/>
      <c r="H9" s="9"/>
      <c r="I9" s="8"/>
    </row>
    <row r="10" spans="1:9">
      <c r="A10" s="6"/>
      <c r="B10" s="6"/>
      <c r="C10" s="9"/>
      <c r="D10" s="9"/>
      <c r="E10" s="9"/>
      <c r="F10" s="9"/>
      <c r="G10" s="9"/>
      <c r="H10" s="9"/>
      <c r="I10" s="8"/>
    </row>
    <row r="11" spans="1:9">
      <c r="A11" s="6"/>
      <c r="B11" s="6"/>
      <c r="C11" s="9"/>
      <c r="D11" s="9"/>
      <c r="E11" s="9"/>
      <c r="F11" s="9"/>
      <c r="G11" s="9"/>
      <c r="H11" s="9"/>
      <c r="I11" s="8"/>
    </row>
    <row r="12" spans="1:9">
      <c r="A12" s="6"/>
      <c r="B12" s="6"/>
      <c r="C12" s="9"/>
      <c r="D12" s="9"/>
      <c r="E12" s="9"/>
      <c r="F12" s="9"/>
      <c r="G12" s="9"/>
      <c r="H12" s="9"/>
      <c r="I12" s="8"/>
    </row>
    <row r="13" spans="1:9">
      <c r="A13" s="6"/>
      <c r="B13" s="6"/>
      <c r="C13" s="9"/>
      <c r="D13" s="9"/>
      <c r="E13" s="9"/>
      <c r="F13" s="9"/>
      <c r="G13" s="9"/>
      <c r="H13" s="9"/>
      <c r="I13" s="8"/>
    </row>
    <row r="14" spans="1:9">
      <c r="A14" s="6"/>
      <c r="B14" s="6"/>
      <c r="C14" s="9"/>
      <c r="D14" s="9"/>
      <c r="E14" s="9"/>
      <c r="F14" s="9"/>
      <c r="G14" s="9"/>
      <c r="H14" s="9"/>
      <c r="I14" s="8"/>
    </row>
    <row r="15" spans="1:9">
      <c r="A15" s="6"/>
      <c r="B15" s="6"/>
      <c r="C15" s="9"/>
      <c r="D15" s="9"/>
      <c r="E15" s="9"/>
      <c r="F15" s="9"/>
      <c r="G15" s="9"/>
      <c r="H15" s="9"/>
      <c r="I15" s="8"/>
    </row>
    <row r="16" spans="1:9">
      <c r="A16" s="6"/>
      <c r="B16" s="6"/>
      <c r="C16" s="9"/>
      <c r="D16" s="9"/>
      <c r="E16" s="9"/>
      <c r="F16" s="9"/>
      <c r="G16" s="9"/>
      <c r="H16" s="9"/>
      <c r="I16" s="8"/>
    </row>
    <row r="17" spans="1:9">
      <c r="A17" s="6"/>
      <c r="B17" s="6"/>
      <c r="C17" s="6"/>
      <c r="D17" s="9"/>
      <c r="E17" s="6"/>
      <c r="F17" s="6"/>
      <c r="G17" s="6"/>
      <c r="H17" s="14"/>
      <c r="I17" s="8"/>
    </row>
    <row r="18" spans="1:9">
      <c r="A18" s="6"/>
      <c r="B18" s="6"/>
      <c r="C18" s="6"/>
      <c r="D18" s="6"/>
      <c r="E18" s="6"/>
      <c r="F18" s="6"/>
      <c r="G18" s="6"/>
      <c r="H18" s="9"/>
      <c r="I18" s="8"/>
    </row>
    <row r="19" spans="1:9">
      <c r="A19" s="6"/>
      <c r="B19" s="6"/>
      <c r="C19" s="6"/>
      <c r="D19" s="6"/>
      <c r="E19" s="6"/>
      <c r="F19" s="6"/>
      <c r="G19" s="6"/>
      <c r="H19" s="6"/>
      <c r="I19" s="8"/>
    </row>
    <row r="20" spans="1:9">
      <c r="A20" t="s">
        <v>558</v>
      </c>
      <c r="C20" s="11">
        <f t="shared" ref="C20:H20" si="0">SUM(C3:C19)</f>
        <v>30000000</v>
      </c>
      <c r="D20" s="11">
        <f t="shared" si="0"/>
        <v>30000000</v>
      </c>
      <c r="E20" s="11">
        <f t="shared" si="0"/>
        <v>2640000</v>
      </c>
      <c r="F20" s="11">
        <f t="shared" si="0"/>
        <v>900000</v>
      </c>
      <c r="G20" s="11">
        <f t="shared" si="0"/>
        <v>1200000</v>
      </c>
      <c r="H20" s="11">
        <f t="shared" si="0"/>
        <v>0</v>
      </c>
      <c r="I20" s="11">
        <f>SUM(I3:I12)</f>
        <v>0</v>
      </c>
    </row>
  </sheetData>
  <mergeCells count="1">
    <mergeCell ref="A1:I1"/>
  </mergeCells>
  <hyperlinks>
    <hyperlink ref="K1" location="收付款总表!A1" display="收付款总表"/>
    <hyperlink ref="J1" location="总表!A1" display="总表"/>
  </hyperlinks>
  <pageMargins left="0.699305555555556" right="0.699305555555556" top="0.75" bottom="0.75" header="0.3" footer="0.3"/>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20"/>
  <sheetViews>
    <sheetView workbookViewId="0">
      <selection activeCell="A1" sqref="$A1:$XFD1048576"/>
    </sheetView>
  </sheetViews>
  <sheetFormatPr defaultColWidth="9" defaultRowHeight="13.5"/>
  <cols>
    <col min="1" max="2" width="15.75" customWidth="1"/>
    <col min="3" max="3" width="16.875" customWidth="1"/>
    <col min="4" max="4" width="18.5" customWidth="1"/>
    <col min="5" max="7" width="15.75" customWidth="1"/>
    <col min="8" max="8" width="17.5" customWidth="1"/>
    <col min="9" max="9" width="15.75" customWidth="1"/>
  </cols>
  <sheetData>
    <row r="1" ht="25.9" customHeight="1" spans="1:11">
      <c r="A1" s="2" t="s">
        <v>560</v>
      </c>
      <c r="B1" s="2"/>
      <c r="C1" s="2"/>
      <c r="D1" s="2"/>
      <c r="E1" s="2"/>
      <c r="F1" s="2"/>
      <c r="G1" s="2"/>
      <c r="H1" s="2"/>
      <c r="I1" s="2"/>
      <c r="J1" s="12" t="s">
        <v>544</v>
      </c>
      <c r="K1" s="12" t="s">
        <v>545</v>
      </c>
    </row>
    <row r="2" spans="1:9">
      <c r="A2" s="3" t="s">
        <v>2</v>
      </c>
      <c r="B2" s="3" t="s">
        <v>557</v>
      </c>
      <c r="C2" s="3" t="s">
        <v>6</v>
      </c>
      <c r="D2" s="3" t="s">
        <v>513</v>
      </c>
      <c r="E2" s="3" t="s">
        <v>515</v>
      </c>
      <c r="F2" s="3" t="s">
        <v>517</v>
      </c>
      <c r="G2" s="3" t="s">
        <v>519</v>
      </c>
      <c r="H2" s="4" t="s">
        <v>521</v>
      </c>
      <c r="I2" s="4" t="s">
        <v>522</v>
      </c>
    </row>
    <row r="3" spans="1:9">
      <c r="A3" s="6">
        <v>42387</v>
      </c>
      <c r="B3" s="13"/>
      <c r="C3" s="8">
        <v>5000000</v>
      </c>
      <c r="D3" s="9"/>
      <c r="E3" s="8"/>
      <c r="F3" s="8"/>
      <c r="G3" s="8"/>
      <c r="H3" s="8"/>
      <c r="I3" s="8"/>
    </row>
    <row r="4" spans="1:9">
      <c r="A4" s="6">
        <v>42395</v>
      </c>
      <c r="B4" s="6"/>
      <c r="C4" s="8">
        <v>15000000</v>
      </c>
      <c r="D4" s="9"/>
      <c r="E4" s="8"/>
      <c r="F4" s="8"/>
      <c r="G4" s="8"/>
      <c r="H4" s="8"/>
      <c r="I4" s="8"/>
    </row>
    <row r="5" spans="1:9">
      <c r="A5" s="6"/>
      <c r="B5" s="13">
        <v>42395</v>
      </c>
      <c r="C5" s="8"/>
      <c r="D5" s="9"/>
      <c r="E5" s="8">
        <v>900000</v>
      </c>
      <c r="F5" s="8">
        <v>300000</v>
      </c>
      <c r="G5" s="8">
        <v>800000</v>
      </c>
      <c r="H5" s="8"/>
      <c r="I5" s="8"/>
    </row>
    <row r="6" spans="1:9">
      <c r="A6" s="6"/>
      <c r="B6" s="6">
        <v>42565</v>
      </c>
      <c r="C6" s="8"/>
      <c r="D6" s="9"/>
      <c r="E6" s="8">
        <v>225000</v>
      </c>
      <c r="F6" s="8">
        <v>75000</v>
      </c>
      <c r="G6" s="8"/>
      <c r="H6" s="8"/>
      <c r="I6" s="8"/>
    </row>
    <row r="7" spans="1:9">
      <c r="A7" s="6"/>
      <c r="B7" s="6">
        <v>42577</v>
      </c>
      <c r="C7" s="8"/>
      <c r="D7" s="9"/>
      <c r="E7" s="8">
        <v>675000</v>
      </c>
      <c r="F7" s="8">
        <v>225000</v>
      </c>
      <c r="G7" s="8"/>
      <c r="H7" s="8"/>
      <c r="I7" s="8"/>
    </row>
    <row r="8" spans="1:9">
      <c r="A8" s="6"/>
      <c r="B8" s="13">
        <v>42754</v>
      </c>
      <c r="C8" s="8"/>
      <c r="D8" s="9"/>
      <c r="E8" s="8">
        <v>20000</v>
      </c>
      <c r="F8" s="8"/>
      <c r="G8" s="8"/>
      <c r="H8" s="9"/>
      <c r="I8" s="8"/>
    </row>
    <row r="9" spans="1:9">
      <c r="A9" s="6"/>
      <c r="B9" s="13">
        <v>42757</v>
      </c>
      <c r="C9" s="8"/>
      <c r="D9" s="9">
        <v>20000000</v>
      </c>
      <c r="E9" s="8"/>
      <c r="F9" s="8"/>
      <c r="G9" s="8"/>
      <c r="H9" s="9"/>
      <c r="I9" s="8"/>
    </row>
    <row r="10" spans="1:9">
      <c r="A10" s="6"/>
      <c r="B10" s="13"/>
      <c r="C10" s="8"/>
      <c r="D10" s="9"/>
      <c r="E10" s="8"/>
      <c r="F10" s="8"/>
      <c r="G10" s="8"/>
      <c r="H10" s="9"/>
      <c r="I10" s="8"/>
    </row>
    <row r="11" spans="1:9">
      <c r="A11" s="6"/>
      <c r="B11" s="6"/>
      <c r="C11" s="9"/>
      <c r="D11" s="9"/>
      <c r="E11" s="9"/>
      <c r="F11" s="9"/>
      <c r="G11" s="9"/>
      <c r="H11" s="9"/>
      <c r="I11" s="8"/>
    </row>
    <row r="12" spans="1:9">
      <c r="A12" s="6"/>
      <c r="B12" s="6"/>
      <c r="C12" s="9"/>
      <c r="D12" s="9"/>
      <c r="E12" s="9"/>
      <c r="F12" s="9"/>
      <c r="G12" s="9"/>
      <c r="H12" s="9"/>
      <c r="I12" s="8"/>
    </row>
    <row r="13" spans="1:9">
      <c r="A13" s="6"/>
      <c r="B13" s="6"/>
      <c r="C13" s="9"/>
      <c r="D13" s="9"/>
      <c r="E13" s="9"/>
      <c r="F13" s="9"/>
      <c r="G13" s="9"/>
      <c r="H13" s="9"/>
      <c r="I13" s="8"/>
    </row>
    <row r="14" spans="1:9">
      <c r="A14" s="6"/>
      <c r="B14" s="6"/>
      <c r="C14" s="9"/>
      <c r="D14" s="9"/>
      <c r="E14" s="9"/>
      <c r="F14" s="9"/>
      <c r="G14" s="9"/>
      <c r="H14" s="9"/>
      <c r="I14" s="8"/>
    </row>
    <row r="15" spans="1:9">
      <c r="A15" s="6"/>
      <c r="B15" s="6"/>
      <c r="C15" s="9"/>
      <c r="D15" s="9"/>
      <c r="E15" s="9"/>
      <c r="F15" s="9"/>
      <c r="G15" s="9"/>
      <c r="H15" s="9"/>
      <c r="I15" s="8"/>
    </row>
    <row r="16" spans="1:9">
      <c r="A16" s="6"/>
      <c r="B16" s="6"/>
      <c r="C16" s="9"/>
      <c r="D16" s="9"/>
      <c r="E16" s="9"/>
      <c r="F16" s="9"/>
      <c r="G16" s="9"/>
      <c r="H16" s="9"/>
      <c r="I16" s="8"/>
    </row>
    <row r="17" spans="1:9">
      <c r="A17" s="6"/>
      <c r="B17" s="6"/>
      <c r="C17" s="6"/>
      <c r="D17" s="9"/>
      <c r="E17" s="6"/>
      <c r="F17" s="6"/>
      <c r="G17" s="6"/>
      <c r="H17" s="14"/>
      <c r="I17" s="8"/>
    </row>
    <row r="18" spans="1:9">
      <c r="A18" s="6"/>
      <c r="B18" s="6"/>
      <c r="C18" s="6"/>
      <c r="D18" s="6"/>
      <c r="E18" s="6"/>
      <c r="F18" s="6"/>
      <c r="G18" s="6"/>
      <c r="H18" s="9"/>
      <c r="I18" s="8"/>
    </row>
    <row r="19" spans="1:9">
      <c r="A19" s="6"/>
      <c r="B19" s="6"/>
      <c r="C19" s="6"/>
      <c r="D19" s="6"/>
      <c r="E19" s="6"/>
      <c r="F19" s="6"/>
      <c r="G19" s="6"/>
      <c r="H19" s="6"/>
      <c r="I19" s="8"/>
    </row>
    <row r="20" spans="1:9">
      <c r="A20" t="s">
        <v>558</v>
      </c>
      <c r="C20" s="11">
        <f t="shared" ref="C20:H20" si="0">SUM(C3:C19)</f>
        <v>20000000</v>
      </c>
      <c r="D20" s="11">
        <f t="shared" si="0"/>
        <v>20000000</v>
      </c>
      <c r="E20" s="11">
        <f t="shared" si="0"/>
        <v>1820000</v>
      </c>
      <c r="F20" s="11">
        <f t="shared" si="0"/>
        <v>600000</v>
      </c>
      <c r="G20" s="11">
        <f t="shared" si="0"/>
        <v>800000</v>
      </c>
      <c r="H20" s="11">
        <f t="shared" si="0"/>
        <v>0</v>
      </c>
      <c r="I20" s="11">
        <f>SUM(I3:I12)</f>
        <v>0</v>
      </c>
    </row>
  </sheetData>
  <mergeCells count="1">
    <mergeCell ref="A1:I1"/>
  </mergeCells>
  <hyperlinks>
    <hyperlink ref="K1" location="收付款总表!A1" display="收付款总表"/>
    <hyperlink ref="J1" location="总表!A1" display="总表"/>
  </hyperlinks>
  <pageMargins left="0.699305555555556" right="0.699305555555556" top="0.75" bottom="0.75" header="0.3" footer="0.3"/>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20"/>
  <sheetViews>
    <sheetView workbookViewId="0">
      <selection activeCell="D25" sqref="D25"/>
    </sheetView>
  </sheetViews>
  <sheetFormatPr defaultColWidth="9" defaultRowHeight="13.5"/>
  <cols>
    <col min="1" max="2" width="15.75" customWidth="1"/>
    <col min="3" max="3" width="16.875" customWidth="1"/>
    <col min="4" max="4" width="18.5" customWidth="1"/>
    <col min="5" max="7" width="15.75" customWidth="1"/>
    <col min="8" max="8" width="17.5" customWidth="1"/>
    <col min="9" max="9" width="15.75" customWidth="1"/>
  </cols>
  <sheetData>
    <row r="1" ht="25.9" customHeight="1" spans="1:11">
      <c r="A1" s="2" t="s">
        <v>561</v>
      </c>
      <c r="B1" s="2"/>
      <c r="C1" s="2"/>
      <c r="D1" s="2"/>
      <c r="E1" s="2"/>
      <c r="F1" s="2"/>
      <c r="G1" s="2"/>
      <c r="H1" s="2"/>
      <c r="I1" s="2"/>
      <c r="J1" s="12" t="s">
        <v>544</v>
      </c>
      <c r="K1" s="12" t="s">
        <v>545</v>
      </c>
    </row>
    <row r="2" spans="1:9">
      <c r="A2" s="3" t="s">
        <v>2</v>
      </c>
      <c r="B2" s="3" t="s">
        <v>557</v>
      </c>
      <c r="C2" s="3" t="s">
        <v>6</v>
      </c>
      <c r="D2" s="3" t="s">
        <v>513</v>
      </c>
      <c r="E2" s="3" t="s">
        <v>515</v>
      </c>
      <c r="F2" s="3" t="s">
        <v>517</v>
      </c>
      <c r="G2" s="3" t="s">
        <v>519</v>
      </c>
      <c r="H2" s="4" t="s">
        <v>521</v>
      </c>
      <c r="I2" s="4" t="s">
        <v>522</v>
      </c>
    </row>
    <row r="3" spans="1:9">
      <c r="A3" s="6">
        <v>42457</v>
      </c>
      <c r="B3" s="6">
        <v>42821</v>
      </c>
      <c r="C3" s="9">
        <v>60000000</v>
      </c>
      <c r="D3" s="9"/>
      <c r="E3" s="9"/>
      <c r="F3" s="9"/>
      <c r="G3" s="9"/>
      <c r="H3" s="9"/>
      <c r="I3" s="8"/>
    </row>
    <row r="4" spans="1:9">
      <c r="A4" s="6"/>
      <c r="B4" s="6">
        <v>42459</v>
      </c>
      <c r="C4" s="9"/>
      <c r="D4" s="9"/>
      <c r="E4" s="9">
        <v>2400000</v>
      </c>
      <c r="F4" s="9">
        <v>900000</v>
      </c>
      <c r="G4" s="9">
        <v>2400000</v>
      </c>
      <c r="H4" s="9">
        <v>6000000</v>
      </c>
      <c r="I4" s="8"/>
    </row>
    <row r="5" spans="1:9">
      <c r="A5" s="6"/>
      <c r="B5" s="6">
        <v>42643</v>
      </c>
      <c r="C5" s="9"/>
      <c r="D5" s="9"/>
      <c r="E5" s="9">
        <v>2400000</v>
      </c>
      <c r="F5" s="9">
        <v>900000</v>
      </c>
      <c r="G5" s="9"/>
      <c r="H5" s="9"/>
      <c r="I5" s="8"/>
    </row>
    <row r="6" spans="1:9">
      <c r="A6" s="6"/>
      <c r="B6" s="6">
        <v>42815</v>
      </c>
      <c r="C6" s="9"/>
      <c r="D6" s="9">
        <v>60000000</v>
      </c>
      <c r="E6" s="9">
        <v>-40000</v>
      </c>
      <c r="F6" s="9"/>
      <c r="G6" s="9"/>
      <c r="H6" s="9"/>
      <c r="I6" s="8"/>
    </row>
    <row r="7" spans="1:9">
      <c r="A7" s="6"/>
      <c r="B7" s="6"/>
      <c r="C7" s="9"/>
      <c r="D7" s="9"/>
      <c r="E7" s="9"/>
      <c r="F7" s="9"/>
      <c r="G7" s="9"/>
      <c r="H7" s="9"/>
      <c r="I7" s="8"/>
    </row>
    <row r="8" spans="1:9">
      <c r="A8" s="6"/>
      <c r="B8" s="13"/>
      <c r="C8" s="8"/>
      <c r="D8" s="9"/>
      <c r="E8" s="8"/>
      <c r="F8" s="8"/>
      <c r="G8" s="8"/>
      <c r="H8" s="9"/>
      <c r="I8" s="8"/>
    </row>
    <row r="9" spans="1:9">
      <c r="A9" s="6"/>
      <c r="B9" s="13"/>
      <c r="C9" s="8"/>
      <c r="D9" s="9"/>
      <c r="E9" s="8"/>
      <c r="F9" s="8"/>
      <c r="G9" s="8"/>
      <c r="H9" s="9"/>
      <c r="I9" s="8"/>
    </row>
    <row r="10" spans="1:9">
      <c r="A10" s="6"/>
      <c r="B10" s="13"/>
      <c r="C10" s="8"/>
      <c r="D10" s="9"/>
      <c r="E10" s="8"/>
      <c r="F10" s="8"/>
      <c r="G10" s="8"/>
      <c r="H10" s="9"/>
      <c r="I10" s="8"/>
    </row>
    <row r="11" spans="1:9">
      <c r="A11" s="6"/>
      <c r="B11" s="6"/>
      <c r="C11" s="9"/>
      <c r="D11" s="9"/>
      <c r="E11" s="9"/>
      <c r="F11" s="9"/>
      <c r="G11" s="9"/>
      <c r="H11" s="9"/>
      <c r="I11" s="8"/>
    </row>
    <row r="12" spans="1:9">
      <c r="A12" s="6"/>
      <c r="B12" s="6"/>
      <c r="C12" s="9"/>
      <c r="D12" s="9"/>
      <c r="E12" s="9"/>
      <c r="F12" s="9"/>
      <c r="G12" s="9"/>
      <c r="H12" s="9"/>
      <c r="I12" s="8"/>
    </row>
    <row r="13" spans="1:9">
      <c r="A13" s="6"/>
      <c r="B13" s="6"/>
      <c r="C13" s="9"/>
      <c r="D13" s="9"/>
      <c r="E13" s="9"/>
      <c r="F13" s="9"/>
      <c r="G13" s="9"/>
      <c r="H13" s="9"/>
      <c r="I13" s="8"/>
    </row>
    <row r="14" spans="1:9">
      <c r="A14" s="6"/>
      <c r="B14" s="6"/>
      <c r="C14" s="9"/>
      <c r="D14" s="9"/>
      <c r="E14" s="9"/>
      <c r="F14" s="9"/>
      <c r="G14" s="9"/>
      <c r="H14" s="9"/>
      <c r="I14" s="8"/>
    </row>
    <row r="15" spans="1:9">
      <c r="A15" s="6"/>
      <c r="B15" s="6"/>
      <c r="C15" s="9"/>
      <c r="D15" s="9"/>
      <c r="E15" s="9"/>
      <c r="F15" s="9"/>
      <c r="G15" s="9"/>
      <c r="H15" s="9"/>
      <c r="I15" s="8"/>
    </row>
    <row r="16" spans="1:9">
      <c r="A16" s="6"/>
      <c r="B16" s="6"/>
      <c r="C16" s="9"/>
      <c r="D16" s="9"/>
      <c r="E16" s="9"/>
      <c r="F16" s="9"/>
      <c r="G16" s="9"/>
      <c r="H16" s="9"/>
      <c r="I16" s="8"/>
    </row>
    <row r="17" spans="1:9">
      <c r="A17" s="6"/>
      <c r="B17" s="6"/>
      <c r="C17" s="6"/>
      <c r="D17" s="9"/>
      <c r="E17" s="6"/>
      <c r="F17" s="6"/>
      <c r="G17" s="6"/>
      <c r="H17" s="14"/>
      <c r="I17" s="8"/>
    </row>
    <row r="18" spans="1:9">
      <c r="A18" s="6"/>
      <c r="B18" s="6"/>
      <c r="C18" s="6"/>
      <c r="D18" s="6"/>
      <c r="E18" s="6"/>
      <c r="F18" s="6"/>
      <c r="G18" s="6"/>
      <c r="H18" s="9"/>
      <c r="I18" s="8"/>
    </row>
    <row r="19" spans="1:9">
      <c r="A19" s="6"/>
      <c r="B19" s="6"/>
      <c r="C19" s="6"/>
      <c r="D19" s="6"/>
      <c r="E19" s="6"/>
      <c r="F19" s="6"/>
      <c r="G19" s="6"/>
      <c r="H19" s="6"/>
      <c r="I19" s="8"/>
    </row>
    <row r="20" spans="1:9">
      <c r="A20" t="s">
        <v>558</v>
      </c>
      <c r="C20" s="11">
        <f t="shared" ref="C20:H20" si="0">SUM(C3:C19)</f>
        <v>60000000</v>
      </c>
      <c r="D20" s="11">
        <f t="shared" si="0"/>
        <v>60000000</v>
      </c>
      <c r="E20" s="11">
        <f t="shared" si="0"/>
        <v>4760000</v>
      </c>
      <c r="F20" s="11">
        <f t="shared" si="0"/>
        <v>1800000</v>
      </c>
      <c r="G20" s="11">
        <f t="shared" si="0"/>
        <v>2400000</v>
      </c>
      <c r="H20" s="11">
        <f t="shared" si="0"/>
        <v>6000000</v>
      </c>
      <c r="I20" s="11">
        <f>SUM(I3:I12)</f>
        <v>0</v>
      </c>
    </row>
  </sheetData>
  <mergeCells count="1">
    <mergeCell ref="A1:I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20"/>
  <sheetViews>
    <sheetView workbookViewId="0">
      <selection activeCell="B18" sqref="B18"/>
    </sheetView>
  </sheetViews>
  <sheetFormatPr defaultColWidth="9" defaultRowHeight="13.5"/>
  <cols>
    <col min="1" max="2" width="15.75" customWidth="1"/>
    <col min="3" max="3" width="16.875" customWidth="1"/>
    <col min="4" max="4" width="18.5" customWidth="1"/>
    <col min="5" max="7" width="15.75" customWidth="1"/>
    <col min="8" max="8" width="17.5" customWidth="1"/>
    <col min="9" max="9" width="15.75" customWidth="1"/>
  </cols>
  <sheetData>
    <row r="1" ht="18.75" spans="1:11">
      <c r="A1" s="2" t="s">
        <v>562</v>
      </c>
      <c r="B1" s="2"/>
      <c r="C1" s="2"/>
      <c r="D1" s="2"/>
      <c r="E1" s="2"/>
      <c r="F1" s="2"/>
      <c r="G1" s="2"/>
      <c r="H1" s="2"/>
      <c r="I1" s="2"/>
      <c r="J1" s="12" t="s">
        <v>544</v>
      </c>
      <c r="K1" s="12" t="s">
        <v>545</v>
      </c>
    </row>
    <row r="2" spans="1:9">
      <c r="A2" s="3" t="s">
        <v>2</v>
      </c>
      <c r="B2" s="3" t="s">
        <v>557</v>
      </c>
      <c r="C2" s="3" t="s">
        <v>6</v>
      </c>
      <c r="D2" s="3" t="s">
        <v>513</v>
      </c>
      <c r="E2" s="3" t="s">
        <v>515</v>
      </c>
      <c r="F2" s="3" t="s">
        <v>517</v>
      </c>
      <c r="G2" s="3" t="s">
        <v>519</v>
      </c>
      <c r="H2" s="4" t="s">
        <v>521</v>
      </c>
      <c r="I2" s="4" t="s">
        <v>522</v>
      </c>
    </row>
    <row r="3" spans="1:9">
      <c r="A3" s="5">
        <v>42537</v>
      </c>
      <c r="B3" s="6">
        <v>42901</v>
      </c>
      <c r="C3" s="7">
        <v>50000000</v>
      </c>
      <c r="D3" s="9"/>
      <c r="E3" s="9"/>
      <c r="F3" s="9"/>
      <c r="G3" s="9">
        <v>0</v>
      </c>
      <c r="H3" s="9">
        <v>5000000</v>
      </c>
      <c r="I3" s="8"/>
    </row>
    <row r="4" spans="1:9">
      <c r="A4" s="6"/>
      <c r="B4" s="6">
        <v>42538</v>
      </c>
      <c r="C4" s="9"/>
      <c r="D4" s="9"/>
      <c r="E4" s="9"/>
      <c r="F4" s="9">
        <v>2500000</v>
      </c>
      <c r="G4" s="9"/>
      <c r="H4" s="9"/>
      <c r="I4" s="8"/>
    </row>
    <row r="5" spans="1:9">
      <c r="A5" s="6"/>
      <c r="B5" s="6">
        <v>42571</v>
      </c>
      <c r="C5" s="9"/>
      <c r="D5" s="9"/>
      <c r="E5" s="9">
        <v>375000</v>
      </c>
      <c r="F5" s="9"/>
      <c r="G5" s="9"/>
      <c r="H5" s="9"/>
      <c r="I5" s="8"/>
    </row>
    <row r="6" spans="1:9">
      <c r="A6" s="6"/>
      <c r="B6" s="6">
        <v>42601</v>
      </c>
      <c r="C6" s="9"/>
      <c r="D6" s="9"/>
      <c r="E6" s="9">
        <v>375000</v>
      </c>
      <c r="F6" s="9"/>
      <c r="G6" s="9"/>
      <c r="H6" s="9"/>
      <c r="I6" s="8"/>
    </row>
    <row r="7" spans="1:9">
      <c r="A7" s="6"/>
      <c r="B7" s="6">
        <v>42633</v>
      </c>
      <c r="C7" s="9"/>
      <c r="D7" s="9"/>
      <c r="E7" s="9">
        <v>375000</v>
      </c>
      <c r="F7" s="9"/>
      <c r="G7" s="9"/>
      <c r="H7" s="9"/>
      <c r="I7" s="8"/>
    </row>
    <row r="8" spans="1:9">
      <c r="A8" s="6"/>
      <c r="B8" s="6">
        <v>42663</v>
      </c>
      <c r="C8" s="9"/>
      <c r="D8" s="9"/>
      <c r="E8" s="9">
        <v>375000</v>
      </c>
      <c r="F8" s="9"/>
      <c r="G8" s="9"/>
      <c r="H8" s="9"/>
      <c r="I8" s="8"/>
    </row>
    <row r="9" spans="1:9">
      <c r="A9" s="6"/>
      <c r="B9" s="6">
        <v>42692</v>
      </c>
      <c r="C9" s="9"/>
      <c r="D9" s="9"/>
      <c r="E9" s="9">
        <v>375000</v>
      </c>
      <c r="F9" s="9"/>
      <c r="G9" s="9"/>
      <c r="H9" s="9"/>
      <c r="I9" s="8"/>
    </row>
    <row r="10" spans="1:9">
      <c r="A10" s="6"/>
      <c r="B10" s="6">
        <v>42724</v>
      </c>
      <c r="C10" s="9"/>
      <c r="D10" s="9"/>
      <c r="E10" s="9">
        <v>375000</v>
      </c>
      <c r="F10" s="9"/>
      <c r="G10" s="9"/>
      <c r="H10" s="9"/>
      <c r="I10" s="8"/>
    </row>
    <row r="11" spans="1:9">
      <c r="A11" s="6"/>
      <c r="B11" s="6">
        <v>42755</v>
      </c>
      <c r="C11" s="9"/>
      <c r="D11" s="9"/>
      <c r="E11" s="9">
        <v>375000</v>
      </c>
      <c r="F11" s="9"/>
      <c r="G11" s="9"/>
      <c r="H11" s="9"/>
      <c r="I11" s="8"/>
    </row>
    <row r="12" spans="1:9">
      <c r="A12" s="6"/>
      <c r="B12" s="6">
        <v>42786</v>
      </c>
      <c r="C12" s="9"/>
      <c r="D12" s="9"/>
      <c r="E12" s="9">
        <v>375000</v>
      </c>
      <c r="F12" s="9"/>
      <c r="G12" s="9"/>
      <c r="H12" s="9"/>
      <c r="I12" s="8"/>
    </row>
    <row r="13" spans="1:9">
      <c r="A13" s="6"/>
      <c r="B13" s="6">
        <v>42814</v>
      </c>
      <c r="C13" s="9"/>
      <c r="D13" s="9"/>
      <c r="E13" s="9">
        <v>375000</v>
      </c>
      <c r="F13" s="9"/>
      <c r="G13" s="9"/>
      <c r="H13" s="9"/>
      <c r="I13" s="8"/>
    </row>
    <row r="14" spans="1:9">
      <c r="A14" s="6"/>
      <c r="B14" s="6">
        <v>42845</v>
      </c>
      <c r="C14" s="9"/>
      <c r="D14" s="9"/>
      <c r="E14" s="9">
        <v>375000</v>
      </c>
      <c r="F14" s="9"/>
      <c r="G14" s="9"/>
      <c r="H14" s="9"/>
      <c r="I14" s="8"/>
    </row>
    <row r="15" spans="1:9">
      <c r="A15" s="6"/>
      <c r="B15" s="6">
        <v>42874</v>
      </c>
      <c r="C15" s="9"/>
      <c r="D15" s="9"/>
      <c r="E15" s="9">
        <v>375000</v>
      </c>
      <c r="F15" s="9"/>
      <c r="G15" s="9"/>
      <c r="H15" s="9"/>
      <c r="I15" s="8"/>
    </row>
    <row r="16" spans="1:9">
      <c r="A16" s="6"/>
      <c r="B16" s="6">
        <v>42901</v>
      </c>
      <c r="C16" s="9"/>
      <c r="D16" s="9"/>
      <c r="E16" s="9">
        <v>375000</v>
      </c>
      <c r="F16" s="9"/>
      <c r="G16" s="9"/>
      <c r="H16" s="9"/>
      <c r="I16" s="8"/>
    </row>
    <row r="17" spans="1:9">
      <c r="A17" s="6"/>
      <c r="B17" s="6">
        <v>42901</v>
      </c>
      <c r="C17" s="6"/>
      <c r="D17" s="9">
        <v>50000000</v>
      </c>
      <c r="E17" s="6"/>
      <c r="F17" s="6"/>
      <c r="G17" s="6"/>
      <c r="H17" s="14"/>
      <c r="I17" s="8"/>
    </row>
    <row r="18" spans="1:9">
      <c r="A18" s="6">
        <v>42901</v>
      </c>
      <c r="B18" s="6"/>
      <c r="C18" s="6"/>
      <c r="D18" s="6"/>
      <c r="E18" s="6"/>
      <c r="F18" s="6"/>
      <c r="G18" s="6"/>
      <c r="H18" s="9">
        <v>-5000000</v>
      </c>
      <c r="I18" s="8"/>
    </row>
    <row r="19" spans="1:9">
      <c r="A19" s="6"/>
      <c r="B19" s="6"/>
      <c r="C19" s="6"/>
      <c r="D19" s="6"/>
      <c r="E19" s="6"/>
      <c r="F19" s="6"/>
      <c r="G19" s="6"/>
      <c r="H19" s="6"/>
      <c r="I19" s="8"/>
    </row>
    <row r="20" spans="1:9">
      <c r="A20" t="s">
        <v>558</v>
      </c>
      <c r="C20" s="11">
        <f t="shared" ref="C20:H20" si="0">SUM(C3:C19)</f>
        <v>50000000</v>
      </c>
      <c r="D20" s="11">
        <f t="shared" si="0"/>
        <v>50000000</v>
      </c>
      <c r="E20" s="11">
        <f t="shared" si="0"/>
        <v>4500000</v>
      </c>
      <c r="F20" s="11">
        <f t="shared" si="0"/>
        <v>2500000</v>
      </c>
      <c r="G20" s="11">
        <f t="shared" si="0"/>
        <v>0</v>
      </c>
      <c r="H20" s="11">
        <f t="shared" si="0"/>
        <v>0</v>
      </c>
      <c r="I20" s="11">
        <f>SUM(I3:I12)</f>
        <v>0</v>
      </c>
    </row>
  </sheetData>
  <mergeCells count="1">
    <mergeCell ref="A1:I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20"/>
  <sheetViews>
    <sheetView workbookViewId="0">
      <selection activeCell="D25" sqref="D25"/>
    </sheetView>
  </sheetViews>
  <sheetFormatPr defaultColWidth="9" defaultRowHeight="13.5"/>
  <cols>
    <col min="1" max="2" width="15.75" customWidth="1"/>
    <col min="3" max="3" width="16.875" customWidth="1"/>
    <col min="4" max="4" width="18.5" customWidth="1"/>
    <col min="5" max="7" width="15.75" customWidth="1"/>
    <col min="8" max="8" width="17.5" customWidth="1"/>
    <col min="9" max="9" width="15.75" customWidth="1"/>
  </cols>
  <sheetData>
    <row r="1" ht="18.75" spans="1:11">
      <c r="A1" s="2" t="s">
        <v>563</v>
      </c>
      <c r="B1" s="2"/>
      <c r="C1" s="2"/>
      <c r="D1" s="2"/>
      <c r="E1" s="2"/>
      <c r="F1" s="2"/>
      <c r="G1" s="2"/>
      <c r="H1" s="2"/>
      <c r="I1" s="2"/>
      <c r="J1" s="12" t="s">
        <v>544</v>
      </c>
      <c r="K1" s="12" t="s">
        <v>545</v>
      </c>
    </row>
    <row r="2" spans="1:9">
      <c r="A2" s="3" t="s">
        <v>2</v>
      </c>
      <c r="B2" s="3" t="s">
        <v>557</v>
      </c>
      <c r="C2" s="3" t="s">
        <v>6</v>
      </c>
      <c r="D2" s="3" t="s">
        <v>513</v>
      </c>
      <c r="E2" s="3" t="s">
        <v>515</v>
      </c>
      <c r="F2" s="3" t="s">
        <v>517</v>
      </c>
      <c r="G2" s="3" t="s">
        <v>519</v>
      </c>
      <c r="H2" s="4" t="s">
        <v>521</v>
      </c>
      <c r="I2" s="4" t="s">
        <v>522</v>
      </c>
    </row>
    <row r="3" spans="1:9">
      <c r="A3" s="5">
        <v>42537</v>
      </c>
      <c r="B3" s="6">
        <v>42901</v>
      </c>
      <c r="C3" s="7">
        <v>40000000</v>
      </c>
      <c r="D3" s="9"/>
      <c r="E3" s="9"/>
      <c r="F3" s="9"/>
      <c r="G3" s="9">
        <v>0</v>
      </c>
      <c r="H3" s="20">
        <v>4000000</v>
      </c>
      <c r="I3" s="8"/>
    </row>
    <row r="4" spans="1:9">
      <c r="A4" s="6"/>
      <c r="B4" s="6">
        <v>42538</v>
      </c>
      <c r="C4" s="9"/>
      <c r="D4" s="9"/>
      <c r="E4" s="9"/>
      <c r="F4" s="9">
        <v>2000000</v>
      </c>
      <c r="G4" s="9"/>
      <c r="H4" s="9"/>
      <c r="I4" s="8"/>
    </row>
    <row r="5" spans="1:9">
      <c r="A5" s="6"/>
      <c r="B5" s="6">
        <v>42571</v>
      </c>
      <c r="C5" s="9"/>
      <c r="D5" s="9"/>
      <c r="E5" s="9">
        <v>300000</v>
      </c>
      <c r="F5" s="9"/>
      <c r="G5" s="9"/>
      <c r="H5" s="9"/>
      <c r="I5" s="8"/>
    </row>
    <row r="6" spans="1:9">
      <c r="A6" s="6"/>
      <c r="B6" s="6">
        <v>42601</v>
      </c>
      <c r="C6" s="9"/>
      <c r="D6" s="9"/>
      <c r="E6" s="9">
        <v>300000</v>
      </c>
      <c r="F6" s="9"/>
      <c r="G6" s="9"/>
      <c r="H6" s="9"/>
      <c r="I6" s="8"/>
    </row>
    <row r="7" spans="1:9">
      <c r="A7" s="6"/>
      <c r="B7" s="6">
        <v>42633</v>
      </c>
      <c r="C7" s="9"/>
      <c r="D7" s="9"/>
      <c r="E7" s="9">
        <v>300000</v>
      </c>
      <c r="F7" s="9"/>
      <c r="G7" s="9"/>
      <c r="H7" s="9"/>
      <c r="I7" s="8"/>
    </row>
    <row r="8" spans="1:9">
      <c r="A8" s="6"/>
      <c r="B8" s="6">
        <v>42663</v>
      </c>
      <c r="C8" s="9"/>
      <c r="D8" s="9"/>
      <c r="E8" s="9">
        <v>300000</v>
      </c>
      <c r="F8" s="9"/>
      <c r="G8" s="9"/>
      <c r="H8" s="9"/>
      <c r="I8" s="8"/>
    </row>
    <row r="9" spans="1:9">
      <c r="A9" s="6"/>
      <c r="B9" s="6">
        <v>42692</v>
      </c>
      <c r="C9" s="9"/>
      <c r="D9" s="9"/>
      <c r="E9" s="9">
        <v>300000</v>
      </c>
      <c r="F9" s="9"/>
      <c r="G9" s="9"/>
      <c r="H9" s="9"/>
      <c r="I9" s="8"/>
    </row>
    <row r="10" spans="1:9">
      <c r="A10" s="6"/>
      <c r="B10" s="6">
        <v>42724</v>
      </c>
      <c r="C10" s="9"/>
      <c r="D10" s="9"/>
      <c r="E10" s="9">
        <v>300000</v>
      </c>
      <c r="F10" s="9"/>
      <c r="G10" s="9"/>
      <c r="H10" s="9"/>
      <c r="I10" s="8"/>
    </row>
    <row r="11" spans="1:9">
      <c r="A11" s="6"/>
      <c r="B11" s="6">
        <v>42755</v>
      </c>
      <c r="C11" s="9"/>
      <c r="D11" s="9"/>
      <c r="E11" s="9">
        <v>300000</v>
      </c>
      <c r="F11" s="9"/>
      <c r="G11" s="9"/>
      <c r="H11" s="9"/>
      <c r="I11" s="8"/>
    </row>
    <row r="12" spans="1:9">
      <c r="A12" s="6"/>
      <c r="B12" s="6">
        <v>42786</v>
      </c>
      <c r="C12" s="9"/>
      <c r="D12" s="9"/>
      <c r="E12" s="9">
        <v>300000</v>
      </c>
      <c r="F12" s="9"/>
      <c r="G12" s="9"/>
      <c r="H12" s="9"/>
      <c r="I12" s="8"/>
    </row>
    <row r="13" spans="1:9">
      <c r="A13" s="6"/>
      <c r="B13" s="6">
        <v>42814</v>
      </c>
      <c r="C13" s="9"/>
      <c r="D13" s="9"/>
      <c r="E13" s="9">
        <v>300000</v>
      </c>
      <c r="F13" s="9"/>
      <c r="G13" s="9"/>
      <c r="H13" s="9"/>
      <c r="I13" s="8"/>
    </row>
    <row r="14" spans="1:9">
      <c r="A14" s="6"/>
      <c r="B14" s="6">
        <v>42845</v>
      </c>
      <c r="C14" s="9"/>
      <c r="D14" s="9"/>
      <c r="E14" s="9">
        <v>300000</v>
      </c>
      <c r="F14" s="9"/>
      <c r="G14" s="9"/>
      <c r="H14" s="9"/>
      <c r="I14" s="8"/>
    </row>
    <row r="15" spans="1:9">
      <c r="A15" s="6"/>
      <c r="B15" s="6">
        <v>42874</v>
      </c>
      <c r="C15" s="9"/>
      <c r="D15" s="9"/>
      <c r="E15" s="9">
        <v>300000</v>
      </c>
      <c r="F15" s="9"/>
      <c r="G15" s="9"/>
      <c r="H15" s="9"/>
      <c r="I15" s="8"/>
    </row>
    <row r="16" spans="1:9">
      <c r="A16" s="6"/>
      <c r="B16" s="6">
        <v>42901</v>
      </c>
      <c r="C16" s="9"/>
      <c r="D16" s="9"/>
      <c r="E16" s="9">
        <v>300000</v>
      </c>
      <c r="F16" s="9"/>
      <c r="G16" s="9"/>
      <c r="H16" s="9"/>
      <c r="I16" s="8"/>
    </row>
    <row r="17" spans="1:9">
      <c r="A17" s="6"/>
      <c r="B17" s="6">
        <v>42901</v>
      </c>
      <c r="C17" s="6"/>
      <c r="D17" s="9">
        <v>40000000</v>
      </c>
      <c r="E17" s="6"/>
      <c r="F17" s="6"/>
      <c r="G17" s="6"/>
      <c r="H17" s="14"/>
      <c r="I17" s="8"/>
    </row>
    <row r="18" spans="1:9">
      <c r="A18" s="6">
        <v>42901</v>
      </c>
      <c r="B18" s="6"/>
      <c r="C18" s="6"/>
      <c r="D18" s="6"/>
      <c r="E18" s="6"/>
      <c r="F18" s="6"/>
      <c r="G18" s="6"/>
      <c r="H18" s="9">
        <v>-4000000</v>
      </c>
      <c r="I18" s="8"/>
    </row>
    <row r="19" spans="1:9">
      <c r="A19" s="6"/>
      <c r="B19" s="6"/>
      <c r="C19" s="6"/>
      <c r="D19" s="6"/>
      <c r="E19" s="6"/>
      <c r="F19" s="6"/>
      <c r="G19" s="6"/>
      <c r="H19" s="6"/>
      <c r="I19" s="8"/>
    </row>
    <row r="20" spans="1:9">
      <c r="A20" t="s">
        <v>558</v>
      </c>
      <c r="C20" s="11">
        <f t="shared" ref="C20:H20" si="0">SUM(C3:C19)</f>
        <v>40000000</v>
      </c>
      <c r="D20" s="11">
        <f t="shared" si="0"/>
        <v>40000000</v>
      </c>
      <c r="E20" s="11">
        <f t="shared" si="0"/>
        <v>3600000</v>
      </c>
      <c r="F20" s="11">
        <f t="shared" si="0"/>
        <v>2000000</v>
      </c>
      <c r="G20" s="11">
        <f t="shared" si="0"/>
        <v>0</v>
      </c>
      <c r="H20" s="11">
        <f t="shared" si="0"/>
        <v>0</v>
      </c>
      <c r="I20" s="11">
        <f>SUM(I3:I12)</f>
        <v>0</v>
      </c>
    </row>
  </sheetData>
  <mergeCells count="1">
    <mergeCell ref="A1:I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20"/>
  <sheetViews>
    <sheetView workbookViewId="0">
      <selection activeCell="A1" sqref="$A1:$XFD1048576"/>
    </sheetView>
  </sheetViews>
  <sheetFormatPr defaultColWidth="9" defaultRowHeight="13.5"/>
  <cols>
    <col min="1" max="2" width="15.75" customWidth="1"/>
    <col min="3" max="3" width="16.875" customWidth="1"/>
    <col min="4" max="4" width="17.25" customWidth="1"/>
    <col min="5" max="7" width="15.75" customWidth="1"/>
    <col min="8" max="8" width="17.5" customWidth="1"/>
    <col min="9" max="9" width="15.75" customWidth="1"/>
  </cols>
  <sheetData>
    <row r="1" ht="18.75" spans="1:11">
      <c r="A1" s="2" t="s">
        <v>564</v>
      </c>
      <c r="B1" s="2"/>
      <c r="C1" s="2"/>
      <c r="D1" s="2"/>
      <c r="E1" s="2"/>
      <c r="F1" s="2"/>
      <c r="G1" s="2"/>
      <c r="H1" s="2"/>
      <c r="I1" s="2"/>
      <c r="J1" s="12" t="s">
        <v>544</v>
      </c>
      <c r="K1" s="12" t="s">
        <v>545</v>
      </c>
    </row>
    <row r="2" spans="1:9">
      <c r="A2" s="3" t="s">
        <v>2</v>
      </c>
      <c r="B2" s="3" t="s">
        <v>557</v>
      </c>
      <c r="C2" s="3" t="s">
        <v>6</v>
      </c>
      <c r="D2" s="3" t="s">
        <v>513</v>
      </c>
      <c r="E2" s="3" t="s">
        <v>515</v>
      </c>
      <c r="F2" s="3" t="s">
        <v>517</v>
      </c>
      <c r="G2" s="3" t="s">
        <v>519</v>
      </c>
      <c r="H2" s="4" t="s">
        <v>521</v>
      </c>
      <c r="I2" s="4" t="s">
        <v>522</v>
      </c>
    </row>
    <row r="3" spans="1:9">
      <c r="A3" s="6">
        <v>42453</v>
      </c>
      <c r="B3" s="6">
        <v>42817</v>
      </c>
      <c r="C3" s="9">
        <v>50000000</v>
      </c>
      <c r="D3" s="9"/>
      <c r="E3" s="9"/>
      <c r="F3" s="9"/>
      <c r="G3" s="9"/>
      <c r="H3" s="9">
        <v>5000000</v>
      </c>
      <c r="I3" s="8"/>
    </row>
    <row r="4" spans="1:9">
      <c r="A4" s="6"/>
      <c r="B4" s="6">
        <v>42454</v>
      </c>
      <c r="C4" s="9"/>
      <c r="D4" s="9"/>
      <c r="E4" s="9"/>
      <c r="F4" s="9">
        <v>1000000</v>
      </c>
      <c r="G4" s="9">
        <f>D3*0.01</f>
        <v>0</v>
      </c>
      <c r="H4" s="9"/>
      <c r="I4" s="8"/>
    </row>
    <row r="5" spans="1:9">
      <c r="A5" s="6"/>
      <c r="B5" s="6">
        <v>42474</v>
      </c>
      <c r="C5" s="9"/>
      <c r="D5" s="9"/>
      <c r="E5" s="9"/>
      <c r="F5" s="9">
        <v>1000000</v>
      </c>
      <c r="G5" s="9"/>
      <c r="H5" s="9"/>
      <c r="I5" s="8"/>
    </row>
    <row r="6" spans="1:9">
      <c r="A6" s="6"/>
      <c r="B6" s="6">
        <v>42480</v>
      </c>
      <c r="C6" s="9"/>
      <c r="D6" s="9"/>
      <c r="E6" s="9">
        <v>375000</v>
      </c>
      <c r="F6" s="9"/>
      <c r="G6" s="9"/>
      <c r="H6" s="9"/>
      <c r="I6" s="8"/>
    </row>
    <row r="7" spans="1:9">
      <c r="A7" s="6"/>
      <c r="B7" s="6">
        <v>42510</v>
      </c>
      <c r="C7" s="9"/>
      <c r="D7" s="9"/>
      <c r="E7" s="9">
        <v>375000</v>
      </c>
      <c r="F7" s="9"/>
      <c r="G7" s="9"/>
      <c r="H7" s="9"/>
      <c r="I7" s="8"/>
    </row>
    <row r="8" spans="1:9">
      <c r="A8" s="6"/>
      <c r="B8" s="6">
        <v>42541</v>
      </c>
      <c r="C8" s="9"/>
      <c r="D8" s="9"/>
      <c r="E8" s="9">
        <v>375000</v>
      </c>
      <c r="F8" s="9"/>
      <c r="G8" s="9"/>
      <c r="H8" s="9"/>
      <c r="I8" s="8"/>
    </row>
    <row r="9" spans="1:9">
      <c r="A9" s="6"/>
      <c r="B9" s="6">
        <v>42571</v>
      </c>
      <c r="C9" s="9"/>
      <c r="D9" s="9"/>
      <c r="E9" s="9">
        <v>375000</v>
      </c>
      <c r="F9" s="9"/>
      <c r="G9" s="9"/>
      <c r="H9" s="9"/>
      <c r="I9" s="8"/>
    </row>
    <row r="10" spans="1:9">
      <c r="A10" s="6"/>
      <c r="B10" s="6">
        <v>42601</v>
      </c>
      <c r="C10" s="9"/>
      <c r="D10" s="9"/>
      <c r="E10" s="9">
        <v>375000</v>
      </c>
      <c r="F10" s="9"/>
      <c r="G10" s="9"/>
      <c r="H10" s="9"/>
      <c r="I10" s="8"/>
    </row>
    <row r="11" spans="1:9">
      <c r="A11" s="6"/>
      <c r="B11" s="6">
        <v>42633</v>
      </c>
      <c r="C11" s="9"/>
      <c r="D11" s="9"/>
      <c r="E11" s="9">
        <v>375000</v>
      </c>
      <c r="F11" s="9"/>
      <c r="G11" s="9"/>
      <c r="H11" s="9"/>
      <c r="I11" s="8"/>
    </row>
    <row r="12" spans="1:9">
      <c r="A12" s="6"/>
      <c r="B12" s="6">
        <v>42663</v>
      </c>
      <c r="C12" s="9"/>
      <c r="D12" s="9"/>
      <c r="E12" s="9">
        <v>375000</v>
      </c>
      <c r="F12" s="9"/>
      <c r="G12" s="9"/>
      <c r="H12" s="9"/>
      <c r="I12" s="8"/>
    </row>
    <row r="13" spans="1:9">
      <c r="A13" s="6"/>
      <c r="B13" s="6">
        <v>42692</v>
      </c>
      <c r="C13" s="9"/>
      <c r="D13" s="9"/>
      <c r="E13" s="9">
        <v>375000</v>
      </c>
      <c r="F13" s="9"/>
      <c r="G13" s="9"/>
      <c r="H13" s="9"/>
      <c r="I13" s="8"/>
    </row>
    <row r="14" spans="1:9">
      <c r="A14" s="6"/>
      <c r="B14" s="6">
        <v>42724</v>
      </c>
      <c r="C14" s="9"/>
      <c r="D14" s="9"/>
      <c r="E14" s="9">
        <v>375000</v>
      </c>
      <c r="F14" s="9"/>
      <c r="G14" s="9"/>
      <c r="H14" s="9"/>
      <c r="I14" s="8"/>
    </row>
    <row r="15" spans="1:9">
      <c r="A15" s="6"/>
      <c r="B15" s="6">
        <v>42755</v>
      </c>
      <c r="C15" s="9"/>
      <c r="D15" s="9"/>
      <c r="E15" s="9">
        <v>375000</v>
      </c>
      <c r="F15" s="9"/>
      <c r="G15" s="9"/>
      <c r="H15" s="9"/>
      <c r="I15" s="8"/>
    </row>
    <row r="16" spans="1:9">
      <c r="A16" s="6"/>
      <c r="B16" s="6">
        <v>42786</v>
      </c>
      <c r="C16" s="9"/>
      <c r="D16" s="9"/>
      <c r="E16" s="9">
        <v>375000</v>
      </c>
      <c r="F16" s="9"/>
      <c r="G16" s="9"/>
      <c r="H16" s="9"/>
      <c r="I16" s="8"/>
    </row>
    <row r="17" spans="1:9">
      <c r="A17" s="6"/>
      <c r="B17" s="6">
        <v>42814</v>
      </c>
      <c r="C17" s="9"/>
      <c r="D17" s="9"/>
      <c r="E17" s="9">
        <v>375000</v>
      </c>
      <c r="F17" s="9"/>
      <c r="G17" s="9"/>
      <c r="H17" s="9"/>
      <c r="I17" s="8"/>
    </row>
    <row r="18" spans="1:9">
      <c r="A18" s="6"/>
      <c r="B18" s="6">
        <v>42817</v>
      </c>
      <c r="C18" s="6"/>
      <c r="D18" s="9">
        <v>50000000</v>
      </c>
      <c r="E18" s="6"/>
      <c r="F18" s="6"/>
      <c r="G18" s="6"/>
      <c r="H18" s="9"/>
      <c r="I18" s="8"/>
    </row>
    <row r="19" spans="1:9">
      <c r="A19" s="6">
        <v>42817</v>
      </c>
      <c r="B19" s="6"/>
      <c r="C19" s="6"/>
      <c r="D19" s="6"/>
      <c r="E19" s="6"/>
      <c r="F19" s="6"/>
      <c r="G19" s="6"/>
      <c r="H19" s="9">
        <v>-5000000</v>
      </c>
      <c r="I19" s="8"/>
    </row>
    <row r="20" spans="1:9">
      <c r="A20" t="s">
        <v>558</v>
      </c>
      <c r="C20" s="11">
        <f t="shared" ref="C20:H20" si="0">SUM(C3:C19)</f>
        <v>50000000</v>
      </c>
      <c r="D20" s="11">
        <f t="shared" si="0"/>
        <v>50000000</v>
      </c>
      <c r="E20" s="11">
        <f t="shared" si="0"/>
        <v>4500000</v>
      </c>
      <c r="F20" s="11">
        <f t="shared" si="0"/>
        <v>2000000</v>
      </c>
      <c r="G20" s="11">
        <f t="shared" si="0"/>
        <v>0</v>
      </c>
      <c r="H20" s="11">
        <f t="shared" si="0"/>
        <v>0</v>
      </c>
      <c r="I20" s="11">
        <f>SUM(I3:I12)</f>
        <v>0</v>
      </c>
    </row>
  </sheetData>
  <mergeCells count="1">
    <mergeCell ref="A1:I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20"/>
  <sheetViews>
    <sheetView workbookViewId="0">
      <selection activeCell="A1" sqref="$A1:$XFD1048576"/>
    </sheetView>
  </sheetViews>
  <sheetFormatPr defaultColWidth="9" defaultRowHeight="13.5"/>
  <cols>
    <col min="1" max="2" width="15.75" customWidth="1"/>
    <col min="3" max="3" width="16.875" customWidth="1"/>
    <col min="4" max="4" width="17.25" customWidth="1"/>
    <col min="5" max="7" width="15.75" customWidth="1"/>
    <col min="8" max="8" width="17.5" customWidth="1"/>
    <col min="9" max="9" width="15.75" customWidth="1"/>
  </cols>
  <sheetData>
    <row r="1" ht="18.75" spans="1:11">
      <c r="A1" s="2" t="s">
        <v>565</v>
      </c>
      <c r="B1" s="2"/>
      <c r="C1" s="2"/>
      <c r="D1" s="2"/>
      <c r="E1" s="2"/>
      <c r="F1" s="2"/>
      <c r="G1" s="2"/>
      <c r="H1" s="2"/>
      <c r="I1" s="2"/>
      <c r="J1" s="12" t="s">
        <v>544</v>
      </c>
      <c r="K1" s="12" t="s">
        <v>545</v>
      </c>
    </row>
    <row r="2" spans="1:9">
      <c r="A2" s="3" t="s">
        <v>2</v>
      </c>
      <c r="B2" s="3" t="s">
        <v>557</v>
      </c>
      <c r="C2" s="3" t="s">
        <v>6</v>
      </c>
      <c r="D2" s="3" t="s">
        <v>513</v>
      </c>
      <c r="E2" s="3" t="s">
        <v>515</v>
      </c>
      <c r="F2" s="3" t="s">
        <v>517</v>
      </c>
      <c r="G2" s="3" t="s">
        <v>519</v>
      </c>
      <c r="H2" s="4" t="s">
        <v>521</v>
      </c>
      <c r="I2" s="4" t="s">
        <v>522</v>
      </c>
    </row>
    <row r="3" spans="1:9">
      <c r="A3" s="6">
        <v>42580</v>
      </c>
      <c r="B3" s="13">
        <v>42944</v>
      </c>
      <c r="C3" s="9">
        <v>30000000</v>
      </c>
      <c r="D3" s="9"/>
      <c r="E3" s="9"/>
      <c r="F3" s="9"/>
      <c r="G3" s="9">
        <v>0</v>
      </c>
      <c r="H3" s="9">
        <v>3000000</v>
      </c>
      <c r="I3" s="8"/>
    </row>
    <row r="4" spans="1:9">
      <c r="A4" s="6"/>
      <c r="B4" s="13">
        <v>42584</v>
      </c>
      <c r="C4" s="9"/>
      <c r="D4" s="9"/>
      <c r="E4" s="9"/>
      <c r="F4" s="9">
        <v>1500000</v>
      </c>
      <c r="G4" s="9"/>
      <c r="H4" s="9"/>
      <c r="I4" s="8"/>
    </row>
    <row r="5" spans="1:9">
      <c r="A5" s="6"/>
      <c r="B5" s="13">
        <v>42601</v>
      </c>
      <c r="C5" s="9"/>
      <c r="D5" s="9"/>
      <c r="E5" s="9">
        <v>225000</v>
      </c>
      <c r="F5" s="9"/>
      <c r="G5" s="9"/>
      <c r="H5" s="9"/>
      <c r="I5" s="8"/>
    </row>
    <row r="6" spans="1:9">
      <c r="A6" s="6"/>
      <c r="B6" s="13">
        <v>42633</v>
      </c>
      <c r="C6" s="9"/>
      <c r="D6" s="9"/>
      <c r="E6" s="9">
        <v>225000</v>
      </c>
      <c r="F6" s="9"/>
      <c r="G6" s="9"/>
      <c r="H6" s="9"/>
      <c r="I6" s="8"/>
    </row>
    <row r="7" spans="1:9">
      <c r="A7" s="6"/>
      <c r="B7" s="13">
        <v>42663</v>
      </c>
      <c r="C7" s="9"/>
      <c r="D7" s="9"/>
      <c r="E7" s="9">
        <v>225000</v>
      </c>
      <c r="F7" s="9"/>
      <c r="G7" s="9"/>
      <c r="H7" s="9"/>
      <c r="I7" s="8"/>
    </row>
    <row r="8" spans="1:9">
      <c r="A8" s="6"/>
      <c r="B8" s="13">
        <v>42695</v>
      </c>
      <c r="C8" s="9"/>
      <c r="D8" s="9"/>
      <c r="E8" s="9">
        <v>225000</v>
      </c>
      <c r="F8" s="9"/>
      <c r="G8" s="9"/>
      <c r="H8" s="9"/>
      <c r="I8" s="8"/>
    </row>
    <row r="9" spans="1:9">
      <c r="A9" s="6"/>
      <c r="B9" s="13">
        <v>42724</v>
      </c>
      <c r="C9" s="9"/>
      <c r="D9" s="9"/>
      <c r="E9" s="9">
        <v>225000</v>
      </c>
      <c r="F9" s="9"/>
      <c r="G9" s="9"/>
      <c r="H9" s="9"/>
      <c r="I9" s="8"/>
    </row>
    <row r="10" spans="1:9">
      <c r="A10" s="6"/>
      <c r="B10" s="13">
        <v>42755</v>
      </c>
      <c r="C10" s="9"/>
      <c r="D10" s="9"/>
      <c r="E10" s="9">
        <v>225000</v>
      </c>
      <c r="F10" s="9"/>
      <c r="G10" s="9"/>
      <c r="H10" s="9"/>
      <c r="I10" s="8"/>
    </row>
    <row r="11" spans="1:9">
      <c r="A11" s="6"/>
      <c r="B11" s="13">
        <v>42786</v>
      </c>
      <c r="C11" s="9"/>
      <c r="D11" s="9"/>
      <c r="E11" s="9">
        <v>225000</v>
      </c>
      <c r="F11" s="9"/>
      <c r="G11" s="9"/>
      <c r="H11" s="9"/>
      <c r="I11" s="8"/>
    </row>
    <row r="12" spans="1:9">
      <c r="A12" s="6"/>
      <c r="B12" s="13">
        <v>42814</v>
      </c>
      <c r="C12" s="9"/>
      <c r="D12" s="9"/>
      <c r="E12" s="9">
        <v>225000</v>
      </c>
      <c r="F12" s="9"/>
      <c r="G12" s="9"/>
      <c r="H12" s="9"/>
      <c r="I12" s="8"/>
    </row>
    <row r="13" spans="1:9">
      <c r="A13" s="6"/>
      <c r="B13" s="13">
        <v>42845</v>
      </c>
      <c r="C13" s="9"/>
      <c r="D13" s="9"/>
      <c r="E13" s="9">
        <v>225000</v>
      </c>
      <c r="F13" s="9"/>
      <c r="G13" s="9"/>
      <c r="H13" s="9"/>
      <c r="I13" s="8"/>
    </row>
    <row r="14" spans="1:9">
      <c r="A14" s="6"/>
      <c r="B14" s="13">
        <v>42875</v>
      </c>
      <c r="C14" s="9"/>
      <c r="D14" s="9"/>
      <c r="E14" s="9">
        <v>225000</v>
      </c>
      <c r="F14" s="9"/>
      <c r="G14" s="9"/>
      <c r="H14" s="9"/>
      <c r="I14" s="8"/>
    </row>
    <row r="15" spans="1:9">
      <c r="A15" s="6"/>
      <c r="B15" s="13">
        <v>42906</v>
      </c>
      <c r="C15" s="9"/>
      <c r="D15" s="9"/>
      <c r="E15" s="9">
        <v>225000</v>
      </c>
      <c r="F15" s="9"/>
      <c r="G15" s="9"/>
      <c r="H15" s="9"/>
      <c r="I15" s="8"/>
    </row>
    <row r="16" spans="1:9">
      <c r="A16" s="19"/>
      <c r="B16" s="13">
        <v>42936</v>
      </c>
      <c r="C16" s="9"/>
      <c r="D16" s="9"/>
      <c r="E16" s="9">
        <v>225000</v>
      </c>
      <c r="F16" s="20"/>
      <c r="G16" s="20"/>
      <c r="H16" s="20"/>
      <c r="I16" s="8"/>
    </row>
    <row r="17" spans="1:9">
      <c r="A17" s="6"/>
      <c r="B17" s="6">
        <v>42944</v>
      </c>
      <c r="C17" s="9"/>
      <c r="D17" s="9">
        <v>30000000</v>
      </c>
      <c r="E17" s="9"/>
      <c r="F17" s="9"/>
      <c r="G17" s="9"/>
      <c r="H17" s="9"/>
      <c r="I17" s="8"/>
    </row>
    <row r="18" spans="1:9">
      <c r="A18" s="6">
        <v>42944</v>
      </c>
      <c r="B18" s="6"/>
      <c r="C18" s="6"/>
      <c r="D18" s="9"/>
      <c r="E18" s="6"/>
      <c r="F18" s="6"/>
      <c r="G18" s="6"/>
      <c r="H18" s="9">
        <v>-3000000</v>
      </c>
      <c r="I18" s="8"/>
    </row>
    <row r="19" spans="1:9">
      <c r="A19" s="6"/>
      <c r="B19" s="6"/>
      <c r="C19" s="6"/>
      <c r="D19" s="6"/>
      <c r="E19" s="6"/>
      <c r="F19" s="6"/>
      <c r="G19" s="6"/>
      <c r="H19" s="9"/>
      <c r="I19" s="8"/>
    </row>
    <row r="20" spans="1:9">
      <c r="A20" t="s">
        <v>558</v>
      </c>
      <c r="C20" s="11">
        <f t="shared" ref="C20:H20" si="0">SUM(C3:C19)</f>
        <v>30000000</v>
      </c>
      <c r="D20" s="11">
        <f t="shared" si="0"/>
        <v>30000000</v>
      </c>
      <c r="E20" s="11">
        <f t="shared" si="0"/>
        <v>2700000</v>
      </c>
      <c r="F20" s="11">
        <f t="shared" si="0"/>
        <v>1500000</v>
      </c>
      <c r="G20" s="11">
        <f t="shared" si="0"/>
        <v>0</v>
      </c>
      <c r="H20" s="11">
        <f t="shared" si="0"/>
        <v>0</v>
      </c>
      <c r="I20" s="11">
        <f>SUM(I3:I12)</f>
        <v>0</v>
      </c>
    </row>
  </sheetData>
  <mergeCells count="1">
    <mergeCell ref="A1:I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20"/>
  <sheetViews>
    <sheetView workbookViewId="0">
      <selection activeCell="D26" sqref="D26"/>
    </sheetView>
  </sheetViews>
  <sheetFormatPr defaultColWidth="9" defaultRowHeight="13.5"/>
  <cols>
    <col min="1" max="2" width="15.75" customWidth="1"/>
    <col min="3" max="3" width="16.875" customWidth="1"/>
    <col min="4" max="4" width="17.25" customWidth="1"/>
    <col min="5" max="7" width="15.75" customWidth="1"/>
    <col min="8" max="8" width="17.5" customWidth="1"/>
    <col min="9" max="9" width="15.75" customWidth="1"/>
  </cols>
  <sheetData>
    <row r="1" ht="18.75" spans="1:11">
      <c r="A1" s="2" t="s">
        <v>566</v>
      </c>
      <c r="B1" s="2"/>
      <c r="C1" s="2"/>
      <c r="D1" s="2"/>
      <c r="E1" s="2"/>
      <c r="F1" s="2"/>
      <c r="G1" s="2"/>
      <c r="H1" s="2"/>
      <c r="I1" s="2"/>
      <c r="J1" s="12" t="s">
        <v>544</v>
      </c>
      <c r="K1" s="12" t="s">
        <v>545</v>
      </c>
    </row>
    <row r="2" spans="1:9">
      <c r="A2" s="3" t="s">
        <v>2</v>
      </c>
      <c r="B2" s="3" t="s">
        <v>557</v>
      </c>
      <c r="C2" s="3" t="s">
        <v>6</v>
      </c>
      <c r="D2" s="3" t="s">
        <v>513</v>
      </c>
      <c r="E2" s="3" t="s">
        <v>515</v>
      </c>
      <c r="F2" s="3" t="s">
        <v>517</v>
      </c>
      <c r="G2" s="3" t="s">
        <v>519</v>
      </c>
      <c r="H2" s="4" t="s">
        <v>521</v>
      </c>
      <c r="I2" s="4" t="s">
        <v>522</v>
      </c>
    </row>
    <row r="3" spans="1:9">
      <c r="A3" s="6">
        <v>42585</v>
      </c>
      <c r="B3" s="13">
        <v>42949</v>
      </c>
      <c r="C3" s="9">
        <v>20000000</v>
      </c>
      <c r="D3" s="9"/>
      <c r="E3" s="9"/>
      <c r="F3" s="9"/>
      <c r="G3" s="9">
        <v>0</v>
      </c>
      <c r="H3" s="9"/>
      <c r="I3" s="8"/>
    </row>
    <row r="4" spans="1:9">
      <c r="A4" s="6"/>
      <c r="B4" s="13">
        <v>42586</v>
      </c>
      <c r="C4" s="9"/>
      <c r="D4" s="9"/>
      <c r="E4" s="9"/>
      <c r="F4" s="9">
        <v>1000000</v>
      </c>
      <c r="G4" s="9"/>
      <c r="H4" s="9">
        <v>2000000</v>
      </c>
      <c r="I4" s="8"/>
    </row>
    <row r="5" spans="1:9">
      <c r="A5" s="6"/>
      <c r="B5" s="13">
        <v>42601</v>
      </c>
      <c r="C5" s="9"/>
      <c r="D5" s="9"/>
      <c r="E5" s="9">
        <v>150000</v>
      </c>
      <c r="F5" s="9"/>
      <c r="G5" s="9"/>
      <c r="H5" s="9"/>
      <c r="I5" s="8"/>
    </row>
    <row r="6" spans="1:9">
      <c r="A6" s="6"/>
      <c r="B6" s="13">
        <v>42633</v>
      </c>
      <c r="C6" s="9"/>
      <c r="D6" s="9"/>
      <c r="E6" s="9">
        <v>150000</v>
      </c>
      <c r="F6" s="9"/>
      <c r="G6" s="9"/>
      <c r="H6" s="9"/>
      <c r="I6" s="8"/>
    </row>
    <row r="7" spans="1:9">
      <c r="A7" s="6"/>
      <c r="B7" s="13">
        <v>42663</v>
      </c>
      <c r="C7" s="9"/>
      <c r="D7" s="9"/>
      <c r="E7" s="9">
        <v>150000</v>
      </c>
      <c r="F7" s="9"/>
      <c r="G7" s="9"/>
      <c r="H7" s="9"/>
      <c r="I7" s="8"/>
    </row>
    <row r="8" spans="1:9">
      <c r="A8" s="6"/>
      <c r="B8" s="13">
        <v>42692</v>
      </c>
      <c r="C8" s="9"/>
      <c r="D8" s="9"/>
      <c r="E8" s="9">
        <v>150000</v>
      </c>
      <c r="F8" s="9"/>
      <c r="G8" s="9"/>
      <c r="H8" s="9"/>
      <c r="I8" s="8"/>
    </row>
    <row r="9" spans="1:9">
      <c r="A9" s="6"/>
      <c r="B9" s="13">
        <v>42724</v>
      </c>
      <c r="C9" s="9"/>
      <c r="D9" s="9"/>
      <c r="E9" s="9">
        <v>150000</v>
      </c>
      <c r="F9" s="9"/>
      <c r="G9" s="9"/>
      <c r="H9" s="9"/>
      <c r="I9" s="8"/>
    </row>
    <row r="10" spans="1:9">
      <c r="A10" s="6"/>
      <c r="B10" s="13">
        <v>42755</v>
      </c>
      <c r="C10" s="9"/>
      <c r="D10" s="9"/>
      <c r="E10" s="9">
        <v>150000</v>
      </c>
      <c r="F10" s="9"/>
      <c r="G10" s="9"/>
      <c r="H10" s="9"/>
      <c r="I10" s="8"/>
    </row>
    <row r="11" spans="1:9">
      <c r="A11" s="6"/>
      <c r="B11" s="13">
        <v>42786</v>
      </c>
      <c r="C11" s="9"/>
      <c r="D11" s="9"/>
      <c r="E11" s="9">
        <v>150000</v>
      </c>
      <c r="F11" s="9"/>
      <c r="G11" s="9"/>
      <c r="H11" s="9"/>
      <c r="I11" s="8"/>
    </row>
    <row r="12" spans="1:9">
      <c r="A12" s="6"/>
      <c r="B12" s="13">
        <v>42814</v>
      </c>
      <c r="C12" s="9"/>
      <c r="D12" s="9"/>
      <c r="E12" s="9">
        <v>150000</v>
      </c>
      <c r="F12" s="9"/>
      <c r="G12" s="9"/>
      <c r="H12" s="9"/>
      <c r="I12" s="8"/>
    </row>
    <row r="13" spans="1:9">
      <c r="A13" s="6"/>
      <c r="B13" s="13">
        <v>42845</v>
      </c>
      <c r="C13" s="9"/>
      <c r="D13" s="9"/>
      <c r="E13" s="9">
        <v>150000</v>
      </c>
      <c r="F13" s="9"/>
      <c r="G13" s="9"/>
      <c r="H13" s="9"/>
      <c r="I13" s="8"/>
    </row>
    <row r="14" spans="1:9">
      <c r="A14" s="6"/>
      <c r="B14" s="13">
        <v>42875</v>
      </c>
      <c r="C14" s="9"/>
      <c r="D14" s="9"/>
      <c r="E14" s="9">
        <v>150000</v>
      </c>
      <c r="F14" s="9"/>
      <c r="G14" s="9"/>
      <c r="H14" s="9"/>
      <c r="I14" s="8"/>
    </row>
    <row r="15" spans="1:9">
      <c r="A15" s="6"/>
      <c r="B15" s="13">
        <v>42906</v>
      </c>
      <c r="C15" s="9"/>
      <c r="D15" s="9"/>
      <c r="E15" s="9">
        <v>150000</v>
      </c>
      <c r="F15" s="9"/>
      <c r="G15" s="9"/>
      <c r="H15" s="9"/>
      <c r="I15" s="8"/>
    </row>
    <row r="16" spans="1:9">
      <c r="A16" s="6"/>
      <c r="B16" s="13">
        <v>42936</v>
      </c>
      <c r="C16" s="9"/>
      <c r="D16" s="9"/>
      <c r="E16" s="9">
        <v>150000</v>
      </c>
      <c r="F16" s="9"/>
      <c r="G16" s="9"/>
      <c r="H16" s="9"/>
      <c r="I16" s="8"/>
    </row>
    <row r="17" spans="1:9">
      <c r="A17" s="6"/>
      <c r="B17" s="6">
        <v>42949</v>
      </c>
      <c r="C17" s="9"/>
      <c r="D17" s="9">
        <v>20000000</v>
      </c>
      <c r="E17" s="9"/>
      <c r="F17" s="9"/>
      <c r="G17" s="9"/>
      <c r="H17" s="9"/>
      <c r="I17" s="8"/>
    </row>
    <row r="18" spans="1:9">
      <c r="A18" s="6">
        <v>42949</v>
      </c>
      <c r="B18" s="6"/>
      <c r="C18" s="6"/>
      <c r="D18" s="9"/>
      <c r="E18" s="6"/>
      <c r="F18" s="6"/>
      <c r="G18" s="6"/>
      <c r="H18" s="9">
        <v>-2000000</v>
      </c>
      <c r="I18" s="8"/>
    </row>
    <row r="19" spans="1:9">
      <c r="A19" s="6"/>
      <c r="B19" s="6"/>
      <c r="C19" s="6"/>
      <c r="D19" s="6"/>
      <c r="E19" s="6"/>
      <c r="F19" s="6"/>
      <c r="G19" s="6"/>
      <c r="H19" s="9"/>
      <c r="I19" s="8"/>
    </row>
    <row r="20" spans="1:9">
      <c r="A20" t="s">
        <v>558</v>
      </c>
      <c r="C20" s="11">
        <f t="shared" ref="C20:H20" si="0">SUM(C3:C19)</f>
        <v>20000000</v>
      </c>
      <c r="D20" s="11">
        <f t="shared" si="0"/>
        <v>20000000</v>
      </c>
      <c r="E20" s="11">
        <f t="shared" si="0"/>
        <v>1800000</v>
      </c>
      <c r="F20" s="11">
        <f t="shared" si="0"/>
        <v>1000000</v>
      </c>
      <c r="G20" s="11">
        <f t="shared" si="0"/>
        <v>0</v>
      </c>
      <c r="H20" s="11">
        <f t="shared" si="0"/>
        <v>0</v>
      </c>
      <c r="I20" s="11">
        <f>SUM(I3:I12)</f>
        <v>0</v>
      </c>
    </row>
  </sheetData>
  <mergeCells count="1">
    <mergeCell ref="A1:I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20"/>
  <sheetViews>
    <sheetView zoomScale="90" zoomScaleNormal="90" workbookViewId="0">
      <selection activeCell="H29" sqref="H29"/>
    </sheetView>
  </sheetViews>
  <sheetFormatPr defaultColWidth="9" defaultRowHeight="13.5"/>
  <cols>
    <col min="1" max="2" width="15.75" customWidth="1"/>
    <col min="3" max="3" width="16.875" customWidth="1"/>
    <col min="4" max="4" width="19.375" customWidth="1"/>
    <col min="5" max="7" width="15.75" customWidth="1"/>
    <col min="8" max="8" width="17.25" customWidth="1"/>
    <col min="9" max="9" width="15.75" customWidth="1"/>
  </cols>
  <sheetData>
    <row r="1" ht="18.75" spans="1:11">
      <c r="A1" s="2" t="s">
        <v>567</v>
      </c>
      <c r="B1" s="2"/>
      <c r="C1" s="2"/>
      <c r="D1" s="2"/>
      <c r="E1" s="2"/>
      <c r="F1" s="2"/>
      <c r="G1" s="2"/>
      <c r="H1" s="2"/>
      <c r="I1" s="2"/>
      <c r="J1" s="12" t="s">
        <v>544</v>
      </c>
      <c r="K1" s="12" t="s">
        <v>545</v>
      </c>
    </row>
    <row r="2" spans="1:9">
      <c r="A2" s="3" t="s">
        <v>2</v>
      </c>
      <c r="B2" s="3" t="s">
        <v>557</v>
      </c>
      <c r="C2" s="3" t="s">
        <v>6</v>
      </c>
      <c r="D2" s="3" t="s">
        <v>513</v>
      </c>
      <c r="E2" s="3" t="s">
        <v>515</v>
      </c>
      <c r="F2" s="3" t="s">
        <v>517</v>
      </c>
      <c r="G2" s="3" t="s">
        <v>519</v>
      </c>
      <c r="H2" s="4" t="s">
        <v>521</v>
      </c>
      <c r="I2" s="4" t="s">
        <v>522</v>
      </c>
    </row>
    <row r="3" spans="1:9">
      <c r="A3" s="13"/>
      <c r="B3" s="13">
        <v>42705</v>
      </c>
      <c r="C3" s="9"/>
      <c r="D3" s="9"/>
      <c r="E3" s="9"/>
      <c r="F3" s="8">
        <v>900000</v>
      </c>
      <c r="G3" s="8">
        <v>300000</v>
      </c>
      <c r="H3" s="8"/>
      <c r="I3" s="8"/>
    </row>
    <row r="4" spans="1:9">
      <c r="A4" s="6">
        <v>42713</v>
      </c>
      <c r="B4" s="6"/>
      <c r="C4" s="8">
        <v>30000000</v>
      </c>
      <c r="D4" s="9"/>
      <c r="E4" s="9"/>
      <c r="F4" s="9"/>
      <c r="G4" s="8"/>
      <c r="H4" s="8"/>
      <c r="I4" s="8"/>
    </row>
    <row r="5" spans="1:9">
      <c r="A5" s="6"/>
      <c r="B5" s="6">
        <v>42747</v>
      </c>
      <c r="C5" s="9"/>
      <c r="D5" s="9"/>
      <c r="E5" s="8">
        <v>300000</v>
      </c>
      <c r="F5" s="8"/>
      <c r="G5" s="8"/>
      <c r="H5" s="8"/>
      <c r="I5" s="8"/>
    </row>
    <row r="6" spans="1:9">
      <c r="A6" s="6"/>
      <c r="B6" s="6">
        <v>42776</v>
      </c>
      <c r="C6" s="9"/>
      <c r="D6" s="9"/>
      <c r="E6" s="8">
        <v>300000</v>
      </c>
      <c r="F6" s="8"/>
      <c r="G6" s="8"/>
      <c r="H6" s="8"/>
      <c r="I6" s="8"/>
    </row>
    <row r="7" spans="1:9">
      <c r="A7" s="6"/>
      <c r="B7" s="6">
        <v>42804</v>
      </c>
      <c r="C7" s="9"/>
      <c r="D7" s="9"/>
      <c r="E7" s="8">
        <v>300000</v>
      </c>
      <c r="F7" s="8"/>
      <c r="G7" s="8"/>
      <c r="H7" s="8"/>
      <c r="I7" s="8"/>
    </row>
    <row r="8" spans="1:9">
      <c r="A8" s="6"/>
      <c r="B8" s="6">
        <v>42809</v>
      </c>
      <c r="C8" s="8"/>
      <c r="D8" s="8"/>
      <c r="E8" s="8"/>
      <c r="F8" s="8">
        <v>900000</v>
      </c>
      <c r="G8" s="8"/>
      <c r="H8" s="8"/>
      <c r="I8" s="8"/>
    </row>
    <row r="9" spans="1:9">
      <c r="A9" s="6"/>
      <c r="B9" s="6">
        <v>42835</v>
      </c>
      <c r="C9" s="8"/>
      <c r="D9" s="8"/>
      <c r="E9" s="8">
        <v>300000</v>
      </c>
      <c r="F9" s="8"/>
      <c r="G9" s="8"/>
      <c r="H9" s="8"/>
      <c r="I9" s="8"/>
    </row>
    <row r="10" spans="1:9">
      <c r="A10" s="6"/>
      <c r="B10" s="6">
        <v>42886</v>
      </c>
      <c r="C10" s="6"/>
      <c r="D10" s="14">
        <v>30000000</v>
      </c>
      <c r="E10" s="8"/>
      <c r="F10" s="8"/>
      <c r="G10" s="6"/>
      <c r="H10" s="6"/>
      <c r="I10" s="8"/>
    </row>
    <row r="11" spans="1:9">
      <c r="A11" s="6"/>
      <c r="B11" s="6">
        <v>42887</v>
      </c>
      <c r="C11" s="6"/>
      <c r="D11" s="6"/>
      <c r="E11" s="8">
        <v>600000</v>
      </c>
      <c r="F11" s="6"/>
      <c r="G11" s="6"/>
      <c r="H11" s="6"/>
      <c r="I11" s="8"/>
    </row>
    <row r="12" spans="1:9">
      <c r="A12" s="6"/>
      <c r="B12" s="6"/>
      <c r="C12" s="6"/>
      <c r="D12" s="6"/>
      <c r="E12" s="9"/>
      <c r="F12" s="6"/>
      <c r="G12" s="6"/>
      <c r="H12" s="6"/>
      <c r="I12" s="8"/>
    </row>
    <row r="13" spans="1:9">
      <c r="A13" s="6"/>
      <c r="B13" s="6"/>
      <c r="C13" s="6"/>
      <c r="D13" s="6"/>
      <c r="E13" s="9"/>
      <c r="F13" s="6"/>
      <c r="G13" s="6"/>
      <c r="H13" s="6"/>
      <c r="I13" s="8"/>
    </row>
    <row r="14" spans="1:9">
      <c r="A14" s="6"/>
      <c r="B14" s="6"/>
      <c r="C14" s="6"/>
      <c r="D14" s="6"/>
      <c r="E14" s="9"/>
      <c r="F14" s="6"/>
      <c r="G14" s="6"/>
      <c r="H14" s="6"/>
      <c r="I14" s="8"/>
    </row>
    <row r="15" spans="1:9">
      <c r="A15" s="6"/>
      <c r="B15" s="6"/>
      <c r="C15" s="6"/>
      <c r="D15" s="6"/>
      <c r="E15" s="9"/>
      <c r="F15" s="6"/>
      <c r="G15" s="6"/>
      <c r="H15" s="6"/>
      <c r="I15" s="8"/>
    </row>
    <row r="16" spans="1:9">
      <c r="A16" s="6"/>
      <c r="B16" s="6"/>
      <c r="C16" s="6"/>
      <c r="D16" s="14"/>
      <c r="E16" s="9"/>
      <c r="F16" s="6"/>
      <c r="G16" s="6"/>
      <c r="H16" s="6"/>
      <c r="I16" s="8"/>
    </row>
    <row r="17" spans="1:9">
      <c r="A17" s="6"/>
      <c r="B17" s="6"/>
      <c r="C17" s="6"/>
      <c r="D17" s="6"/>
      <c r="E17" s="6"/>
      <c r="F17" s="6"/>
      <c r="G17" s="6"/>
      <c r="H17" s="14"/>
      <c r="I17" s="8"/>
    </row>
    <row r="18" spans="1:9">
      <c r="A18" s="6"/>
      <c r="B18" s="6"/>
      <c r="C18" s="6"/>
      <c r="D18" s="6"/>
      <c r="E18" s="6"/>
      <c r="F18" s="6"/>
      <c r="G18" s="6"/>
      <c r="H18" s="6"/>
      <c r="I18" s="8"/>
    </row>
    <row r="19" spans="1:9">
      <c r="A19" s="6"/>
      <c r="B19" s="6"/>
      <c r="C19" s="6"/>
      <c r="D19" s="6"/>
      <c r="E19" s="6"/>
      <c r="F19" s="6"/>
      <c r="G19" s="6"/>
      <c r="H19" s="6"/>
      <c r="I19" s="8"/>
    </row>
    <row r="20" spans="1:9">
      <c r="A20" t="s">
        <v>558</v>
      </c>
      <c r="C20" s="11">
        <f t="shared" ref="C20:H20" si="0">SUM(C3:C19)</f>
        <v>30000000</v>
      </c>
      <c r="D20" s="11">
        <f t="shared" si="0"/>
        <v>30000000</v>
      </c>
      <c r="E20" s="11">
        <f t="shared" si="0"/>
        <v>1800000</v>
      </c>
      <c r="F20" s="11">
        <f t="shared" si="0"/>
        <v>1800000</v>
      </c>
      <c r="G20" s="11">
        <f t="shared" si="0"/>
        <v>300000</v>
      </c>
      <c r="H20" s="11">
        <f t="shared" si="0"/>
        <v>0</v>
      </c>
      <c r="I20" s="11">
        <f>SUM(I3:I12)</f>
        <v>0</v>
      </c>
    </row>
  </sheetData>
  <mergeCells count="1">
    <mergeCell ref="A1:I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20"/>
  <sheetViews>
    <sheetView zoomScale="80" zoomScaleNormal="80" workbookViewId="0">
      <selection activeCell="D16" sqref="D16"/>
    </sheetView>
  </sheetViews>
  <sheetFormatPr defaultColWidth="9" defaultRowHeight="13.5"/>
  <cols>
    <col min="1" max="2" width="15.75" customWidth="1"/>
    <col min="3" max="3" width="16.875" customWidth="1"/>
    <col min="4" max="4" width="19.375" customWidth="1"/>
    <col min="5" max="7" width="15.75" customWidth="1"/>
    <col min="8" max="8" width="17.25" customWidth="1"/>
    <col min="9" max="9" width="15.75" customWidth="1"/>
  </cols>
  <sheetData>
    <row r="1" ht="18.75" spans="1:11">
      <c r="A1" s="2" t="s">
        <v>568</v>
      </c>
      <c r="B1" s="2"/>
      <c r="C1" s="2"/>
      <c r="D1" s="2"/>
      <c r="E1" s="2"/>
      <c r="F1" s="2"/>
      <c r="G1" s="2"/>
      <c r="H1" s="2"/>
      <c r="I1" s="2"/>
      <c r="J1" s="12" t="s">
        <v>544</v>
      </c>
      <c r="K1" s="12" t="s">
        <v>545</v>
      </c>
    </row>
    <row r="2" spans="1:9">
      <c r="A2" s="3" t="s">
        <v>2</v>
      </c>
      <c r="B2" s="3" t="s">
        <v>557</v>
      </c>
      <c r="C2" s="3" t="s">
        <v>6</v>
      </c>
      <c r="D2" s="3" t="s">
        <v>513</v>
      </c>
      <c r="E2" s="3" t="s">
        <v>515</v>
      </c>
      <c r="F2" s="3" t="s">
        <v>517</v>
      </c>
      <c r="G2" s="3" t="s">
        <v>519</v>
      </c>
      <c r="H2" s="4" t="s">
        <v>521</v>
      </c>
      <c r="I2" s="4" t="s">
        <v>522</v>
      </c>
    </row>
    <row r="3" spans="1:9">
      <c r="A3" s="13">
        <v>42580</v>
      </c>
      <c r="B3" s="13">
        <v>42944</v>
      </c>
      <c r="C3" s="9">
        <v>60000000</v>
      </c>
      <c r="D3" s="9"/>
      <c r="E3" s="9"/>
      <c r="F3" s="9">
        <v>1052054</v>
      </c>
      <c r="G3" s="9"/>
      <c r="H3" s="9">
        <v>6000000</v>
      </c>
      <c r="I3" s="8"/>
    </row>
    <row r="4" spans="1:9">
      <c r="A4" s="13"/>
      <c r="B4" s="13">
        <v>42601</v>
      </c>
      <c r="C4" s="9"/>
      <c r="D4" s="9"/>
      <c r="E4" s="9">
        <v>361644</v>
      </c>
      <c r="F4" s="9">
        <v>876712</v>
      </c>
      <c r="G4" s="8"/>
      <c r="H4" s="8"/>
      <c r="I4" s="8"/>
    </row>
    <row r="5" spans="1:9">
      <c r="A5" s="13"/>
      <c r="B5" s="13">
        <v>42633</v>
      </c>
      <c r="C5" s="9"/>
      <c r="D5" s="9"/>
      <c r="E5" s="9">
        <v>509589</v>
      </c>
      <c r="F5" s="9"/>
      <c r="G5" s="8"/>
      <c r="H5" s="8"/>
      <c r="I5" s="8"/>
    </row>
    <row r="6" spans="1:9">
      <c r="A6" s="13"/>
      <c r="B6" s="13">
        <v>42663</v>
      </c>
      <c r="C6" s="9"/>
      <c r="D6" s="9"/>
      <c r="E6" s="9">
        <v>493151</v>
      </c>
      <c r="F6" s="9"/>
      <c r="G6" s="8"/>
      <c r="H6" s="8"/>
      <c r="I6" s="8"/>
    </row>
    <row r="7" spans="1:9">
      <c r="A7" s="13"/>
      <c r="B7" s="13">
        <v>42692</v>
      </c>
      <c r="C7" s="9"/>
      <c r="D7" s="9"/>
      <c r="E7" s="9">
        <v>509589</v>
      </c>
      <c r="F7" s="9"/>
      <c r="G7" s="8"/>
      <c r="H7" s="8"/>
      <c r="I7" s="8"/>
    </row>
    <row r="8" spans="1:9">
      <c r="A8" s="13"/>
      <c r="B8" s="13">
        <v>42724</v>
      </c>
      <c r="C8" s="8"/>
      <c r="D8" s="8"/>
      <c r="E8" s="9">
        <v>493151</v>
      </c>
      <c r="F8" s="9"/>
      <c r="G8" s="8"/>
      <c r="H8" s="8"/>
      <c r="I8" s="8"/>
    </row>
    <row r="9" spans="1:9">
      <c r="A9" s="13"/>
      <c r="B9" s="13">
        <v>42739</v>
      </c>
      <c r="C9" s="8"/>
      <c r="D9" s="9">
        <v>60000000</v>
      </c>
      <c r="E9" s="9">
        <v>246575</v>
      </c>
      <c r="F9" s="8"/>
      <c r="G9" s="8"/>
      <c r="H9" s="8">
        <v>-6000000</v>
      </c>
      <c r="I9" s="8"/>
    </row>
    <row r="10" spans="1:9">
      <c r="A10" s="13"/>
      <c r="B10" s="13"/>
      <c r="C10" s="8"/>
      <c r="D10" s="8"/>
      <c r="E10" s="9"/>
      <c r="F10" s="8"/>
      <c r="G10" s="8"/>
      <c r="H10" s="8"/>
      <c r="I10" s="8"/>
    </row>
    <row r="11" spans="1:9">
      <c r="A11" s="6"/>
      <c r="B11" s="13"/>
      <c r="C11" s="6"/>
      <c r="D11" s="6"/>
      <c r="E11" s="9"/>
      <c r="F11" s="6"/>
      <c r="G11" s="9"/>
      <c r="H11" s="9"/>
      <c r="I11" s="8"/>
    </row>
    <row r="12" spans="1:9">
      <c r="A12" s="6"/>
      <c r="B12" s="6"/>
      <c r="C12" s="6"/>
      <c r="D12" s="6"/>
      <c r="E12" s="9"/>
      <c r="F12" s="6"/>
      <c r="G12" s="6"/>
      <c r="H12" s="6"/>
      <c r="I12" s="8"/>
    </row>
    <row r="13" spans="1:9">
      <c r="A13" s="6"/>
      <c r="B13" s="6"/>
      <c r="C13" s="6"/>
      <c r="D13" s="6"/>
      <c r="E13" s="9"/>
      <c r="F13" s="6"/>
      <c r="G13" s="6"/>
      <c r="H13" s="6"/>
      <c r="I13" s="8"/>
    </row>
    <row r="14" spans="1:9">
      <c r="A14" s="6"/>
      <c r="B14" s="6"/>
      <c r="C14" s="6"/>
      <c r="D14" s="6"/>
      <c r="E14" s="9"/>
      <c r="F14" s="6"/>
      <c r="G14" s="6"/>
      <c r="H14" s="6"/>
      <c r="I14" s="8"/>
    </row>
    <row r="15" spans="1:9">
      <c r="A15" s="6"/>
      <c r="B15" s="6"/>
      <c r="C15" s="6"/>
      <c r="D15" s="6"/>
      <c r="E15" s="9"/>
      <c r="F15" s="6"/>
      <c r="G15" s="6"/>
      <c r="H15" s="6"/>
      <c r="I15" s="8"/>
    </row>
    <row r="16" spans="1:9">
      <c r="A16" s="6"/>
      <c r="B16" s="6"/>
      <c r="C16" s="6"/>
      <c r="D16" s="14"/>
      <c r="E16" s="9"/>
      <c r="F16" s="6"/>
      <c r="G16" s="6"/>
      <c r="H16" s="6"/>
      <c r="I16" s="8"/>
    </row>
    <row r="17" spans="1:9">
      <c r="A17" s="6"/>
      <c r="B17" s="6"/>
      <c r="C17" s="6"/>
      <c r="D17" s="6"/>
      <c r="E17" s="6"/>
      <c r="F17" s="6"/>
      <c r="G17" s="6"/>
      <c r="H17" s="14"/>
      <c r="I17" s="8"/>
    </row>
    <row r="18" spans="1:9">
      <c r="A18" s="6"/>
      <c r="B18" s="6"/>
      <c r="C18" s="6"/>
      <c r="D18" s="6"/>
      <c r="E18" s="6"/>
      <c r="F18" s="6"/>
      <c r="G18" s="6"/>
      <c r="H18" s="6"/>
      <c r="I18" s="8"/>
    </row>
    <row r="19" spans="1:9">
      <c r="A19" s="6"/>
      <c r="B19" s="6"/>
      <c r="C19" s="6"/>
      <c r="D19" s="6"/>
      <c r="E19" s="6"/>
      <c r="F19" s="6"/>
      <c r="G19" s="6"/>
      <c r="H19" s="6"/>
      <c r="I19" s="8"/>
    </row>
    <row r="20" spans="1:9">
      <c r="A20" t="s">
        <v>558</v>
      </c>
      <c r="C20" s="11">
        <f t="shared" ref="C20:H20" si="0">SUM(C3:C19)</f>
        <v>60000000</v>
      </c>
      <c r="D20" s="11">
        <f t="shared" si="0"/>
        <v>60000000</v>
      </c>
      <c r="E20" s="11">
        <f t="shared" si="0"/>
        <v>2613699</v>
      </c>
      <c r="F20" s="11">
        <f t="shared" si="0"/>
        <v>1928766</v>
      </c>
      <c r="G20" s="11">
        <f t="shared" si="0"/>
        <v>0</v>
      </c>
      <c r="H20" s="11">
        <f t="shared" si="0"/>
        <v>0</v>
      </c>
      <c r="I20" s="11">
        <f>SUM(I3:I12)</f>
        <v>0</v>
      </c>
    </row>
  </sheetData>
  <mergeCells count="1">
    <mergeCell ref="A1:I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20"/>
  <sheetViews>
    <sheetView workbookViewId="0">
      <selection activeCell="D10" sqref="D10"/>
    </sheetView>
  </sheetViews>
  <sheetFormatPr defaultColWidth="9" defaultRowHeight="13.5"/>
  <cols>
    <col min="1" max="2" width="15.75" customWidth="1"/>
    <col min="3" max="3" width="16.875" customWidth="1"/>
    <col min="4" max="4" width="19.375" customWidth="1"/>
    <col min="5" max="7" width="15.75" customWidth="1"/>
    <col min="8" max="8" width="17.25" customWidth="1"/>
    <col min="9" max="9" width="15.75" customWidth="1"/>
  </cols>
  <sheetData>
    <row r="1" ht="18.75" spans="1:11">
      <c r="A1" s="2" t="s">
        <v>569</v>
      </c>
      <c r="B1" s="2"/>
      <c r="C1" s="2"/>
      <c r="D1" s="2"/>
      <c r="E1" s="2"/>
      <c r="F1" s="2"/>
      <c r="G1" s="2"/>
      <c r="H1" s="2"/>
      <c r="I1" s="2"/>
      <c r="J1" s="12" t="s">
        <v>544</v>
      </c>
      <c r="K1" s="12" t="s">
        <v>545</v>
      </c>
    </row>
    <row r="2" spans="1:9">
      <c r="A2" s="3" t="s">
        <v>2</v>
      </c>
      <c r="B2" s="3" t="s">
        <v>557</v>
      </c>
      <c r="C2" s="3" t="s">
        <v>6</v>
      </c>
      <c r="D2" s="3" t="s">
        <v>513</v>
      </c>
      <c r="E2" s="3" t="s">
        <v>515</v>
      </c>
      <c r="F2" s="3" t="s">
        <v>517</v>
      </c>
      <c r="G2" s="3" t="s">
        <v>519</v>
      </c>
      <c r="H2" s="4" t="s">
        <v>521</v>
      </c>
      <c r="I2" s="4" t="s">
        <v>522</v>
      </c>
    </row>
    <row r="3" spans="1:9">
      <c r="A3" s="13">
        <v>42585</v>
      </c>
      <c r="B3" s="13">
        <v>42585</v>
      </c>
      <c r="C3" s="9">
        <v>50000000</v>
      </c>
      <c r="D3" s="9"/>
      <c r="E3" s="9"/>
      <c r="F3" s="9"/>
      <c r="G3" s="9">
        <v>0</v>
      </c>
      <c r="H3" s="9">
        <v>7500000</v>
      </c>
      <c r="I3" s="8"/>
    </row>
    <row r="4" spans="1:9">
      <c r="A4" s="13"/>
      <c r="B4" s="13">
        <v>42586</v>
      </c>
      <c r="C4" s="9"/>
      <c r="D4" s="9"/>
      <c r="E4" s="9"/>
      <c r="F4" s="9">
        <v>876712</v>
      </c>
      <c r="G4" s="9"/>
      <c r="H4" s="9"/>
      <c r="I4" s="8"/>
    </row>
    <row r="5" spans="1:9">
      <c r="A5" s="13"/>
      <c r="B5" s="13">
        <v>42622</v>
      </c>
      <c r="C5" s="9"/>
      <c r="D5" s="9"/>
      <c r="E5" s="9">
        <v>468493</v>
      </c>
      <c r="F5" s="9"/>
      <c r="G5" s="9"/>
      <c r="H5" s="9"/>
      <c r="I5" s="8"/>
    </row>
    <row r="6" spans="1:9">
      <c r="A6" s="13"/>
      <c r="B6" s="13">
        <v>42653</v>
      </c>
      <c r="C6" s="9"/>
      <c r="D6" s="9"/>
      <c r="E6" s="9">
        <v>369863</v>
      </c>
      <c r="F6" s="9"/>
      <c r="G6" s="9"/>
      <c r="H6" s="9"/>
      <c r="I6" s="8"/>
    </row>
    <row r="7" spans="1:9">
      <c r="A7" s="13"/>
      <c r="B7" s="13">
        <v>42684</v>
      </c>
      <c r="C7" s="9"/>
      <c r="D7" s="9"/>
      <c r="E7" s="9">
        <v>382192</v>
      </c>
      <c r="F7" s="9"/>
      <c r="G7" s="9"/>
      <c r="H7" s="9"/>
      <c r="I7" s="8"/>
    </row>
    <row r="8" spans="1:9">
      <c r="A8" s="13"/>
      <c r="B8" s="13">
        <v>42713</v>
      </c>
      <c r="C8" s="9"/>
      <c r="D8" s="8"/>
      <c r="E8" s="9">
        <v>369863</v>
      </c>
      <c r="F8" s="9"/>
      <c r="G8" s="9"/>
      <c r="H8" s="9"/>
      <c r="I8" s="8"/>
    </row>
    <row r="9" spans="1:9">
      <c r="A9" s="13"/>
      <c r="B9" s="13">
        <v>42744</v>
      </c>
      <c r="C9" s="9"/>
      <c r="D9" s="8">
        <v>50000000</v>
      </c>
      <c r="E9" s="9">
        <v>369863</v>
      </c>
      <c r="F9" s="9"/>
      <c r="G9" s="9"/>
      <c r="H9" s="9"/>
      <c r="I9" s="8"/>
    </row>
    <row r="10" spans="1:9">
      <c r="A10" s="13"/>
      <c r="B10" s="13">
        <v>42803</v>
      </c>
      <c r="C10" s="9"/>
      <c r="D10" s="6"/>
      <c r="E10" s="9"/>
      <c r="F10" s="9"/>
      <c r="G10" s="9">
        <v>1300000</v>
      </c>
      <c r="H10" s="9">
        <v>-7500000</v>
      </c>
      <c r="I10" s="8"/>
    </row>
    <row r="11" spans="1:9">
      <c r="A11" s="6"/>
      <c r="B11" s="6"/>
      <c r="C11" s="6"/>
      <c r="D11" s="6"/>
      <c r="E11" s="9"/>
      <c r="F11" s="6"/>
      <c r="G11" s="6"/>
      <c r="H11" s="6"/>
      <c r="I11" s="8"/>
    </row>
    <row r="12" spans="1:9">
      <c r="A12" s="6"/>
      <c r="B12" s="6"/>
      <c r="C12" s="6"/>
      <c r="D12" s="6"/>
      <c r="E12" s="9"/>
      <c r="F12" s="6"/>
      <c r="G12" s="6"/>
      <c r="H12" s="6"/>
      <c r="I12" s="8"/>
    </row>
    <row r="13" spans="1:9">
      <c r="A13" s="6"/>
      <c r="B13" s="6"/>
      <c r="C13" s="6"/>
      <c r="D13" s="6"/>
      <c r="E13" s="9"/>
      <c r="F13" s="6"/>
      <c r="G13" s="6"/>
      <c r="H13" s="6"/>
      <c r="I13" s="8"/>
    </row>
    <row r="14" spans="1:9">
      <c r="A14" s="6"/>
      <c r="B14" s="6"/>
      <c r="C14" s="6"/>
      <c r="D14" s="6"/>
      <c r="E14" s="9"/>
      <c r="F14" s="6"/>
      <c r="G14" s="6"/>
      <c r="H14" s="6"/>
      <c r="I14" s="8"/>
    </row>
    <row r="15" spans="1:9">
      <c r="A15" s="6"/>
      <c r="B15" s="6"/>
      <c r="C15" s="6"/>
      <c r="D15" s="6"/>
      <c r="E15" s="9"/>
      <c r="F15" s="6"/>
      <c r="G15" s="6"/>
      <c r="H15" s="6"/>
      <c r="I15" s="8"/>
    </row>
    <row r="16" spans="1:9">
      <c r="A16" s="6"/>
      <c r="B16" s="6"/>
      <c r="C16" s="6"/>
      <c r="D16" s="14"/>
      <c r="E16" s="9"/>
      <c r="F16" s="6"/>
      <c r="G16" s="6"/>
      <c r="H16" s="6"/>
      <c r="I16" s="8"/>
    </row>
    <row r="17" spans="1:9">
      <c r="A17" s="6"/>
      <c r="B17" s="6"/>
      <c r="C17" s="6"/>
      <c r="D17" s="6"/>
      <c r="E17" s="6"/>
      <c r="F17" s="6"/>
      <c r="G17" s="6"/>
      <c r="H17" s="14"/>
      <c r="I17" s="8"/>
    </row>
    <row r="18" spans="1:9">
      <c r="A18" s="6"/>
      <c r="B18" s="6"/>
      <c r="C18" s="6"/>
      <c r="D18" s="6"/>
      <c r="E18" s="6"/>
      <c r="F18" s="6"/>
      <c r="G18" s="6"/>
      <c r="H18" s="6"/>
      <c r="I18" s="8"/>
    </row>
    <row r="19" spans="1:9">
      <c r="A19" s="6"/>
      <c r="B19" s="6"/>
      <c r="C19" s="6"/>
      <c r="D19" s="6"/>
      <c r="E19" s="6"/>
      <c r="F19" s="6"/>
      <c r="G19" s="6"/>
      <c r="H19" s="6"/>
      <c r="I19" s="8"/>
    </row>
    <row r="20" spans="1:9">
      <c r="A20" t="s">
        <v>558</v>
      </c>
      <c r="C20" s="11">
        <f t="shared" ref="C20:H20" si="0">SUM(C3:C19)</f>
        <v>50000000</v>
      </c>
      <c r="D20" s="11">
        <f t="shared" si="0"/>
        <v>50000000</v>
      </c>
      <c r="E20" s="11">
        <f t="shared" si="0"/>
        <v>1960274</v>
      </c>
      <c r="F20" s="11">
        <f t="shared" si="0"/>
        <v>876712</v>
      </c>
      <c r="G20" s="11">
        <f t="shared" si="0"/>
        <v>1300000</v>
      </c>
      <c r="H20" s="11">
        <f t="shared" si="0"/>
        <v>0</v>
      </c>
      <c r="I20" s="11">
        <f>SUM(I3:I12)</f>
        <v>0</v>
      </c>
    </row>
  </sheetData>
  <mergeCells count="1">
    <mergeCell ref="A1:I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20"/>
  <sheetViews>
    <sheetView workbookViewId="0">
      <selection activeCell="A1" sqref="A1:K20"/>
    </sheetView>
  </sheetViews>
  <sheetFormatPr defaultColWidth="9" defaultRowHeight="13.5"/>
  <cols>
    <col min="1" max="2" width="15.75" customWidth="1"/>
    <col min="3" max="3" width="16.875" customWidth="1"/>
    <col min="4" max="4" width="19.375" customWidth="1"/>
    <col min="5" max="7" width="15.75" customWidth="1"/>
    <col min="8" max="8" width="17.25" customWidth="1"/>
    <col min="9" max="9" width="15.75" customWidth="1"/>
  </cols>
  <sheetData>
    <row r="1" ht="18.75" spans="1:11">
      <c r="A1" s="2" t="s">
        <v>570</v>
      </c>
      <c r="B1" s="2"/>
      <c r="C1" s="2"/>
      <c r="D1" s="2"/>
      <c r="E1" s="2"/>
      <c r="F1" s="2"/>
      <c r="G1" s="2"/>
      <c r="H1" s="2"/>
      <c r="I1" s="2"/>
      <c r="J1" s="12" t="s">
        <v>544</v>
      </c>
      <c r="K1" s="12" t="s">
        <v>545</v>
      </c>
    </row>
    <row r="2" spans="1:9">
      <c r="A2" s="3" t="s">
        <v>2</v>
      </c>
      <c r="B2" s="3" t="s">
        <v>557</v>
      </c>
      <c r="C2" s="3" t="s">
        <v>6</v>
      </c>
      <c r="D2" s="3" t="s">
        <v>513</v>
      </c>
      <c r="E2" s="3" t="s">
        <v>515</v>
      </c>
      <c r="F2" s="3" t="s">
        <v>517</v>
      </c>
      <c r="G2" s="3" t="s">
        <v>519</v>
      </c>
      <c r="H2" s="4" t="s">
        <v>521</v>
      </c>
      <c r="I2" s="4" t="s">
        <v>522</v>
      </c>
    </row>
    <row r="3" spans="1:9">
      <c r="A3" s="13">
        <v>42586</v>
      </c>
      <c r="B3" s="13">
        <v>42586</v>
      </c>
      <c r="C3" s="9">
        <v>50000000</v>
      </c>
      <c r="D3" s="9"/>
      <c r="E3" s="9"/>
      <c r="F3" s="9">
        <v>876712</v>
      </c>
      <c r="G3" s="9">
        <v>0</v>
      </c>
      <c r="H3" s="9">
        <v>7500000</v>
      </c>
      <c r="I3" s="8"/>
    </row>
    <row r="4" spans="1:9">
      <c r="A4" s="13"/>
      <c r="B4" s="13">
        <v>42622</v>
      </c>
      <c r="C4" s="9"/>
      <c r="D4" s="9"/>
      <c r="E4" s="9">
        <v>456164</v>
      </c>
      <c r="F4" s="9"/>
      <c r="G4" s="9"/>
      <c r="H4" s="9"/>
      <c r="I4" s="8"/>
    </row>
    <row r="5" spans="1:9">
      <c r="A5" s="13"/>
      <c r="B5" s="13">
        <v>42653</v>
      </c>
      <c r="C5" s="9"/>
      <c r="D5" s="9"/>
      <c r="E5" s="9">
        <v>369863</v>
      </c>
      <c r="F5" s="9"/>
      <c r="G5" s="9"/>
      <c r="H5" s="9"/>
      <c r="I5" s="8"/>
    </row>
    <row r="6" spans="1:9">
      <c r="A6" s="13"/>
      <c r="B6" s="13">
        <v>42684</v>
      </c>
      <c r="C6" s="9"/>
      <c r="D6" s="9"/>
      <c r="E6" s="9">
        <v>382192</v>
      </c>
      <c r="F6" s="9"/>
      <c r="G6" s="9"/>
      <c r="H6" s="9"/>
      <c r="I6" s="8"/>
    </row>
    <row r="7" spans="1:9">
      <c r="A7" s="13"/>
      <c r="B7" s="13">
        <v>42713</v>
      </c>
      <c r="C7" s="9"/>
      <c r="D7" s="9"/>
      <c r="E7" s="9">
        <v>369863</v>
      </c>
      <c r="F7" s="9"/>
      <c r="G7" s="9"/>
      <c r="H7" s="9"/>
      <c r="I7" s="8"/>
    </row>
    <row r="8" spans="1:9">
      <c r="A8" s="13"/>
      <c r="B8" s="13">
        <v>42744</v>
      </c>
      <c r="C8" s="9"/>
      <c r="D8" s="8">
        <v>30000000</v>
      </c>
      <c r="E8" s="9">
        <v>369863</v>
      </c>
      <c r="F8" s="9"/>
      <c r="G8" s="9"/>
      <c r="H8" s="9"/>
      <c r="I8" s="8"/>
    </row>
    <row r="9" spans="1:9">
      <c r="A9" s="13"/>
      <c r="B9" s="13">
        <v>42746</v>
      </c>
      <c r="C9" s="9"/>
      <c r="D9" s="8">
        <v>20000000</v>
      </c>
      <c r="E9" s="9">
        <v>9863</v>
      </c>
      <c r="F9" s="9"/>
      <c r="G9" s="9"/>
      <c r="H9" s="9"/>
      <c r="I9" s="8"/>
    </row>
    <row r="10" spans="1:9">
      <c r="A10" s="13"/>
      <c r="B10" s="13">
        <v>42803</v>
      </c>
      <c r="C10" s="9"/>
      <c r="D10" s="6"/>
      <c r="E10" s="9"/>
      <c r="F10" s="9"/>
      <c r="G10" s="9">
        <v>1300000</v>
      </c>
      <c r="H10" s="9">
        <v>-7500000</v>
      </c>
      <c r="I10" s="8"/>
    </row>
    <row r="11" spans="1:9">
      <c r="A11" s="6"/>
      <c r="B11" s="6"/>
      <c r="C11" s="6"/>
      <c r="D11" s="6"/>
      <c r="E11" s="9"/>
      <c r="F11" s="6"/>
      <c r="G11" s="6"/>
      <c r="H11" s="6"/>
      <c r="I11" s="8"/>
    </row>
    <row r="12" spans="1:9">
      <c r="A12" s="6"/>
      <c r="B12" s="6"/>
      <c r="C12" s="6"/>
      <c r="D12" s="6"/>
      <c r="E12" s="9"/>
      <c r="F12" s="6"/>
      <c r="G12" s="6"/>
      <c r="H12" s="6"/>
      <c r="I12" s="8"/>
    </row>
    <row r="13" spans="1:9">
      <c r="A13" s="6"/>
      <c r="B13" s="6"/>
      <c r="C13" s="6"/>
      <c r="D13" s="6"/>
      <c r="E13" s="9"/>
      <c r="F13" s="6"/>
      <c r="G13" s="6"/>
      <c r="H13" s="6"/>
      <c r="I13" s="8"/>
    </row>
    <row r="14" spans="1:9">
      <c r="A14" s="6"/>
      <c r="B14" s="6"/>
      <c r="C14" s="6"/>
      <c r="D14" s="6"/>
      <c r="E14" s="9"/>
      <c r="F14" s="6"/>
      <c r="G14" s="6"/>
      <c r="H14" s="6"/>
      <c r="I14" s="8"/>
    </row>
    <row r="15" spans="1:9">
      <c r="A15" s="6"/>
      <c r="B15" s="6"/>
      <c r="C15" s="6"/>
      <c r="D15" s="6"/>
      <c r="E15" s="9"/>
      <c r="F15" s="6"/>
      <c r="G15" s="6"/>
      <c r="H15" s="6"/>
      <c r="I15" s="8"/>
    </row>
    <row r="16" spans="1:9">
      <c r="A16" s="6"/>
      <c r="B16" s="6"/>
      <c r="C16" s="6"/>
      <c r="D16" s="14"/>
      <c r="E16" s="9"/>
      <c r="F16" s="6"/>
      <c r="G16" s="6"/>
      <c r="H16" s="6"/>
      <c r="I16" s="8"/>
    </row>
    <row r="17" spans="1:9">
      <c r="A17" s="6"/>
      <c r="B17" s="6"/>
      <c r="C17" s="6"/>
      <c r="D17" s="6"/>
      <c r="E17" s="6"/>
      <c r="F17" s="6"/>
      <c r="G17" s="6"/>
      <c r="H17" s="14"/>
      <c r="I17" s="8"/>
    </row>
    <row r="18" spans="1:9">
      <c r="A18" s="6"/>
      <c r="B18" s="6"/>
      <c r="C18" s="6"/>
      <c r="D18" s="6"/>
      <c r="E18" s="6"/>
      <c r="F18" s="6"/>
      <c r="G18" s="6"/>
      <c r="H18" s="6"/>
      <c r="I18" s="8"/>
    </row>
    <row r="19" spans="1:9">
      <c r="A19" s="6"/>
      <c r="B19" s="6"/>
      <c r="C19" s="6"/>
      <c r="D19" s="6"/>
      <c r="E19" s="6"/>
      <c r="F19" s="6"/>
      <c r="G19" s="6"/>
      <c r="H19" s="6"/>
      <c r="I19" s="8"/>
    </row>
    <row r="20" spans="1:9">
      <c r="A20" t="s">
        <v>558</v>
      </c>
      <c r="C20" s="11">
        <f t="shared" ref="C20:H20" si="0">SUM(C3:C19)</f>
        <v>50000000</v>
      </c>
      <c r="D20" s="11">
        <f t="shared" si="0"/>
        <v>50000000</v>
      </c>
      <c r="E20" s="11">
        <f t="shared" si="0"/>
        <v>1957808</v>
      </c>
      <c r="F20" s="11">
        <f t="shared" si="0"/>
        <v>876712</v>
      </c>
      <c r="G20" s="11">
        <f t="shared" si="0"/>
        <v>1300000</v>
      </c>
      <c r="H20" s="11">
        <f t="shared" si="0"/>
        <v>0</v>
      </c>
      <c r="I20" s="11">
        <f>SUM(I3:I12)</f>
        <v>0</v>
      </c>
    </row>
  </sheetData>
  <mergeCells count="1">
    <mergeCell ref="A1:I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12"/>
  <sheetViews>
    <sheetView workbookViewId="0">
      <selection activeCell="A1" sqref="A1:K12"/>
    </sheetView>
  </sheetViews>
  <sheetFormatPr defaultColWidth="9" defaultRowHeight="13.5"/>
  <cols>
    <col min="1" max="2" width="11.625" customWidth="1"/>
    <col min="3" max="4" width="18.375" customWidth="1"/>
    <col min="5" max="6" width="13.875" customWidth="1"/>
  </cols>
  <sheetData>
    <row r="1" ht="18.75" spans="1:11">
      <c r="A1" s="1" t="s">
        <v>571</v>
      </c>
      <c r="B1" s="1"/>
      <c r="C1" s="1"/>
      <c r="D1" s="1"/>
      <c r="E1" s="1"/>
      <c r="F1" s="1"/>
      <c r="G1" s="1"/>
      <c r="H1" s="2"/>
      <c r="I1" s="2"/>
      <c r="J1" s="12" t="s">
        <v>544</v>
      </c>
      <c r="K1" s="12" t="s">
        <v>545</v>
      </c>
    </row>
    <row r="2" spans="1:11">
      <c r="A2" s="3" t="s">
        <v>2</v>
      </c>
      <c r="B2" s="3" t="s">
        <v>546</v>
      </c>
      <c r="C2" s="3" t="s">
        <v>6</v>
      </c>
      <c r="D2" s="3" t="s">
        <v>513</v>
      </c>
      <c r="E2" s="3" t="s">
        <v>515</v>
      </c>
      <c r="F2" s="3" t="s">
        <v>547</v>
      </c>
      <c r="G2" s="3" t="s">
        <v>548</v>
      </c>
      <c r="H2" s="4" t="s">
        <v>549</v>
      </c>
      <c r="I2" s="4" t="s">
        <v>522</v>
      </c>
      <c r="K2" s="27"/>
    </row>
    <row r="3" spans="1:9">
      <c r="A3" s="13">
        <v>42732</v>
      </c>
      <c r="B3" s="13"/>
      <c r="C3" s="8">
        <v>100000000</v>
      </c>
      <c r="D3" s="9"/>
      <c r="E3" s="9"/>
      <c r="F3" s="9"/>
      <c r="G3" s="9"/>
      <c r="H3" s="9"/>
      <c r="I3" s="9"/>
    </row>
    <row r="4" spans="1:9">
      <c r="A4" s="6"/>
      <c r="B4" s="6">
        <v>42733</v>
      </c>
      <c r="C4" s="8"/>
      <c r="D4" s="9"/>
      <c r="E4" s="8">
        <v>350000</v>
      </c>
      <c r="F4" s="8">
        <v>350000</v>
      </c>
      <c r="G4" s="9"/>
      <c r="H4" s="9"/>
      <c r="I4" s="9"/>
    </row>
    <row r="5" spans="1:9">
      <c r="A5" s="13"/>
      <c r="B5" s="13">
        <v>42738</v>
      </c>
      <c r="C5" s="9"/>
      <c r="D5" s="9">
        <v>100000000</v>
      </c>
      <c r="E5" s="9"/>
      <c r="F5" s="9"/>
      <c r="G5" s="9"/>
      <c r="H5" s="9"/>
      <c r="I5" s="9"/>
    </row>
    <row r="6" spans="1:9">
      <c r="A6" s="13"/>
      <c r="B6" s="13"/>
      <c r="C6" s="9"/>
      <c r="D6" s="9"/>
      <c r="E6" s="9"/>
      <c r="F6" s="9"/>
      <c r="G6" s="9"/>
      <c r="H6" s="9"/>
      <c r="I6" s="9"/>
    </row>
    <row r="7" spans="1:9">
      <c r="A7" s="13"/>
      <c r="B7" s="13"/>
      <c r="C7" s="9"/>
      <c r="D7" s="9"/>
      <c r="E7" s="9"/>
      <c r="F7" s="9"/>
      <c r="G7" s="9"/>
      <c r="H7" s="9"/>
      <c r="I7" s="9"/>
    </row>
    <row r="8" spans="1:9">
      <c r="A8" s="13"/>
      <c r="B8" s="13"/>
      <c r="C8" s="9"/>
      <c r="D8" s="9"/>
      <c r="E8" s="9"/>
      <c r="F8" s="9"/>
      <c r="G8" s="9"/>
      <c r="H8" s="9"/>
      <c r="I8" s="9"/>
    </row>
    <row r="9" spans="1:9">
      <c r="A9" s="13"/>
      <c r="B9" s="13"/>
      <c r="C9" s="9"/>
      <c r="D9" s="9"/>
      <c r="E9" s="9"/>
      <c r="F9" s="9"/>
      <c r="G9" s="9"/>
      <c r="H9" s="9"/>
      <c r="I9" s="9"/>
    </row>
    <row r="10" spans="1:9">
      <c r="A10" s="13"/>
      <c r="B10" s="13"/>
      <c r="C10" s="9"/>
      <c r="D10" s="9"/>
      <c r="E10" s="9"/>
      <c r="F10" s="9"/>
      <c r="G10" s="9"/>
      <c r="H10" s="9"/>
      <c r="I10" s="9"/>
    </row>
    <row r="12" spans="1:9">
      <c r="A12" t="s">
        <v>12</v>
      </c>
      <c r="C12" s="11">
        <f t="shared" ref="C12:I12" si="0">SUM(C3:C11)</f>
        <v>100000000</v>
      </c>
      <c r="D12" s="11">
        <f t="shared" si="0"/>
        <v>100000000</v>
      </c>
      <c r="E12" s="11">
        <f t="shared" si="0"/>
        <v>350000</v>
      </c>
      <c r="F12" s="11">
        <f t="shared" si="0"/>
        <v>350000</v>
      </c>
      <c r="G12" s="11">
        <f t="shared" si="0"/>
        <v>0</v>
      </c>
      <c r="H12" s="11">
        <f t="shared" si="0"/>
        <v>0</v>
      </c>
      <c r="I12" s="11">
        <f t="shared" si="0"/>
        <v>0</v>
      </c>
    </row>
  </sheetData>
  <mergeCells count="1">
    <mergeCell ref="A1:G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3.5"/>
  <sheetData/>
  <pageMargins left="0.699305555555556" right="0.699305555555556" top="0.75" bottom="0.75" header="0.3" footer="0.3"/>
  <headerFooter/>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12"/>
  <sheetViews>
    <sheetView workbookViewId="0">
      <selection activeCell="J1" sqref="J1"/>
    </sheetView>
  </sheetViews>
  <sheetFormatPr defaultColWidth="9" defaultRowHeight="13.5"/>
  <cols>
    <col min="1" max="2" width="11.625" customWidth="1"/>
    <col min="3" max="4" width="17.25" customWidth="1"/>
    <col min="5" max="6" width="16.125" customWidth="1"/>
  </cols>
  <sheetData>
    <row r="1" ht="18.75" spans="1:11">
      <c r="A1" s="1" t="s">
        <v>572</v>
      </c>
      <c r="B1" s="1"/>
      <c r="C1" s="1"/>
      <c r="D1" s="1"/>
      <c r="E1" s="1"/>
      <c r="F1" s="1"/>
      <c r="G1" s="1"/>
      <c r="H1" s="2"/>
      <c r="I1" s="2"/>
      <c r="J1" s="12" t="s">
        <v>544</v>
      </c>
      <c r="K1" s="12" t="s">
        <v>545</v>
      </c>
    </row>
    <row r="2" spans="1:11">
      <c r="A2" s="3" t="s">
        <v>2</v>
      </c>
      <c r="B2" s="3" t="s">
        <v>546</v>
      </c>
      <c r="C2" s="3" t="s">
        <v>6</v>
      </c>
      <c r="D2" s="3" t="s">
        <v>513</v>
      </c>
      <c r="E2" s="3" t="s">
        <v>515</v>
      </c>
      <c r="F2" s="3" t="s">
        <v>547</v>
      </c>
      <c r="G2" s="3" t="s">
        <v>548</v>
      </c>
      <c r="H2" s="4" t="s">
        <v>549</v>
      </c>
      <c r="I2" s="4" t="s">
        <v>522</v>
      </c>
      <c r="K2" s="27"/>
    </row>
    <row r="3" spans="1:9">
      <c r="A3" s="13">
        <v>42734</v>
      </c>
      <c r="B3" s="13"/>
      <c r="C3" s="8">
        <v>50000000</v>
      </c>
      <c r="D3" s="9"/>
      <c r="E3" s="9"/>
      <c r="F3" s="9"/>
      <c r="G3" s="9"/>
      <c r="H3" s="9"/>
      <c r="I3" s="9"/>
    </row>
    <row r="4" spans="1:9">
      <c r="A4" s="6"/>
      <c r="B4" s="6">
        <v>42734</v>
      </c>
      <c r="C4" s="8"/>
      <c r="D4" s="9"/>
      <c r="E4" s="8">
        <v>1000000</v>
      </c>
      <c r="F4" s="8">
        <v>1000000</v>
      </c>
      <c r="G4" s="9"/>
      <c r="H4" s="9"/>
      <c r="I4" s="9"/>
    </row>
    <row r="5" spans="1:9">
      <c r="A5" s="13"/>
      <c r="B5" s="13">
        <v>42773</v>
      </c>
      <c r="C5" s="9"/>
      <c r="D5" s="9">
        <v>50000000</v>
      </c>
      <c r="E5" s="9"/>
      <c r="F5" s="9"/>
      <c r="G5" s="9"/>
      <c r="H5" s="9"/>
      <c r="I5" s="9"/>
    </row>
    <row r="6" spans="1:9">
      <c r="A6" s="13"/>
      <c r="B6" s="13"/>
      <c r="C6" s="9"/>
      <c r="D6" s="9"/>
      <c r="E6" s="9"/>
      <c r="F6" s="9"/>
      <c r="G6" s="9"/>
      <c r="H6" s="9"/>
      <c r="I6" s="9"/>
    </row>
    <row r="7" spans="1:9">
      <c r="A7" s="13"/>
      <c r="B7" s="13"/>
      <c r="C7" s="9"/>
      <c r="D7" s="9"/>
      <c r="E7" s="9"/>
      <c r="F7" s="9"/>
      <c r="G7" s="9"/>
      <c r="H7" s="9"/>
      <c r="I7" s="9"/>
    </row>
    <row r="8" spans="1:9">
      <c r="A8" s="13"/>
      <c r="B8" s="13"/>
      <c r="C8" s="9"/>
      <c r="D8" s="9"/>
      <c r="E8" s="9"/>
      <c r="F8" s="9"/>
      <c r="G8" s="9"/>
      <c r="H8" s="9"/>
      <c r="I8" s="9"/>
    </row>
    <row r="9" spans="1:9">
      <c r="A9" s="13"/>
      <c r="B9" s="13"/>
      <c r="C9" s="9"/>
      <c r="D9" s="9"/>
      <c r="E9" s="9"/>
      <c r="F9" s="9"/>
      <c r="G9" s="9"/>
      <c r="H9" s="9"/>
      <c r="I9" s="9"/>
    </row>
    <row r="10" spans="1:9">
      <c r="A10" s="13"/>
      <c r="B10" s="13"/>
      <c r="C10" s="9"/>
      <c r="D10" s="9"/>
      <c r="E10" s="9"/>
      <c r="F10" s="9"/>
      <c r="G10" s="9"/>
      <c r="H10" s="9"/>
      <c r="I10" s="9"/>
    </row>
    <row r="12" spans="1:9">
      <c r="A12" t="s">
        <v>12</v>
      </c>
      <c r="C12" s="11">
        <f t="shared" ref="C12:I12" si="0">SUM(C3:C11)</f>
        <v>50000000</v>
      </c>
      <c r="D12" s="11">
        <f t="shared" si="0"/>
        <v>50000000</v>
      </c>
      <c r="E12" s="11">
        <f t="shared" si="0"/>
        <v>1000000</v>
      </c>
      <c r="F12" s="11">
        <f t="shared" si="0"/>
        <v>1000000</v>
      </c>
      <c r="G12" s="11">
        <f t="shared" si="0"/>
        <v>0</v>
      </c>
      <c r="H12" s="11">
        <f t="shared" si="0"/>
        <v>0</v>
      </c>
      <c r="I12" s="11">
        <f t="shared" si="0"/>
        <v>0</v>
      </c>
    </row>
  </sheetData>
  <mergeCells count="1">
    <mergeCell ref="A1:G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20"/>
  <sheetViews>
    <sheetView workbookViewId="0">
      <selection activeCell="J1" sqref="J1"/>
    </sheetView>
  </sheetViews>
  <sheetFormatPr defaultColWidth="9" defaultRowHeight="13.5"/>
  <cols>
    <col min="1" max="1" width="9.75" customWidth="1"/>
    <col min="2" max="2" width="11.625" customWidth="1"/>
    <col min="3" max="4" width="17.25" customWidth="1"/>
    <col min="5" max="6" width="16.125" customWidth="1"/>
    <col min="7" max="7" width="13.875" customWidth="1"/>
    <col min="8" max="8" width="16.125" customWidth="1"/>
  </cols>
  <sheetData>
    <row r="1" ht="18.75" spans="1:11">
      <c r="A1" s="2" t="s">
        <v>573</v>
      </c>
      <c r="B1" s="2"/>
      <c r="C1" s="2"/>
      <c r="D1" s="2"/>
      <c r="E1" s="2"/>
      <c r="F1" s="2"/>
      <c r="G1" s="2"/>
      <c r="H1" s="2"/>
      <c r="I1" s="2"/>
      <c r="J1" s="12" t="s">
        <v>544</v>
      </c>
      <c r="K1" s="12" t="s">
        <v>545</v>
      </c>
    </row>
    <row r="2" spans="1:9">
      <c r="A2" s="3" t="s">
        <v>2</v>
      </c>
      <c r="B2" s="3" t="s">
        <v>557</v>
      </c>
      <c r="C2" s="3" t="s">
        <v>6</v>
      </c>
      <c r="D2" s="3" t="s">
        <v>513</v>
      </c>
      <c r="E2" s="3" t="s">
        <v>515</v>
      </c>
      <c r="F2" s="3" t="s">
        <v>517</v>
      </c>
      <c r="G2" s="3" t="s">
        <v>519</v>
      </c>
      <c r="H2" s="4" t="s">
        <v>521</v>
      </c>
      <c r="I2" s="4" t="s">
        <v>522</v>
      </c>
    </row>
    <row r="3" spans="1:9">
      <c r="A3" s="6">
        <v>42523</v>
      </c>
      <c r="B3" s="28"/>
      <c r="C3" s="9">
        <v>30000000</v>
      </c>
      <c r="D3" s="9"/>
      <c r="E3" s="9"/>
      <c r="F3" s="9"/>
      <c r="G3" s="9"/>
      <c r="H3" s="9"/>
      <c r="I3" s="8"/>
    </row>
    <row r="4" spans="1:9">
      <c r="A4" s="6"/>
      <c r="B4" s="6">
        <v>42523</v>
      </c>
      <c r="C4" s="9"/>
      <c r="D4" s="9"/>
      <c r="E4" s="9"/>
      <c r="F4" s="9">
        <v>900000</v>
      </c>
      <c r="G4" s="9">
        <v>300000</v>
      </c>
      <c r="H4" s="9">
        <v>3000000</v>
      </c>
      <c r="I4" s="8"/>
    </row>
    <row r="5" spans="1:9">
      <c r="A5" s="6"/>
      <c r="B5" s="6">
        <v>42562</v>
      </c>
      <c r="C5" s="9"/>
      <c r="D5" s="9"/>
      <c r="E5" s="9">
        <v>300000</v>
      </c>
      <c r="F5" s="9"/>
      <c r="G5" s="9"/>
      <c r="H5" s="9"/>
      <c r="I5" s="8"/>
    </row>
    <row r="6" spans="1:9">
      <c r="A6" s="6"/>
      <c r="B6" s="6">
        <v>42592</v>
      </c>
      <c r="C6" s="9"/>
      <c r="D6" s="9"/>
      <c r="E6" s="9">
        <v>300000</v>
      </c>
      <c r="F6" s="9"/>
      <c r="G6" s="9"/>
      <c r="H6" s="9"/>
      <c r="I6" s="8"/>
    </row>
    <row r="7" spans="1:9">
      <c r="A7" s="6"/>
      <c r="B7" s="6">
        <v>42615</v>
      </c>
      <c r="C7" s="9"/>
      <c r="D7" s="9"/>
      <c r="E7" s="9"/>
      <c r="F7" s="9">
        <v>900000</v>
      </c>
      <c r="G7" s="25"/>
      <c r="H7" s="25"/>
      <c r="I7" s="8"/>
    </row>
    <row r="8" spans="1:9">
      <c r="A8" s="6"/>
      <c r="B8" s="6">
        <v>42625</v>
      </c>
      <c r="C8" s="6"/>
      <c r="D8" s="8"/>
      <c r="E8" s="9">
        <v>300000</v>
      </c>
      <c r="F8" s="6"/>
      <c r="G8" s="25"/>
      <c r="H8" s="25"/>
      <c r="I8" s="8"/>
    </row>
    <row r="9" spans="1:9">
      <c r="A9" s="6"/>
      <c r="B9" s="6">
        <v>42653</v>
      </c>
      <c r="C9" s="6"/>
      <c r="D9" s="8"/>
      <c r="E9" s="9">
        <v>300000</v>
      </c>
      <c r="F9" s="6"/>
      <c r="G9" s="9"/>
      <c r="H9" s="9"/>
      <c r="I9" s="8"/>
    </row>
    <row r="10" spans="1:9">
      <c r="A10" s="6"/>
      <c r="B10" s="6">
        <v>42684</v>
      </c>
      <c r="C10" s="6"/>
      <c r="D10" s="6"/>
      <c r="E10" s="9">
        <v>300000</v>
      </c>
      <c r="F10" s="6"/>
      <c r="G10" s="9"/>
      <c r="H10" s="9"/>
      <c r="I10" s="8"/>
    </row>
    <row r="11" spans="1:9">
      <c r="A11" s="6"/>
      <c r="B11" s="6">
        <v>42705</v>
      </c>
      <c r="C11" s="6"/>
      <c r="D11" s="14">
        <v>30000000</v>
      </c>
      <c r="E11" s="9">
        <v>300000</v>
      </c>
      <c r="F11" s="6"/>
      <c r="G11" s="6"/>
      <c r="H11" s="6"/>
      <c r="I11" s="8"/>
    </row>
    <row r="12" spans="1:9">
      <c r="A12" s="6"/>
      <c r="B12" s="6"/>
      <c r="C12" s="6"/>
      <c r="D12" s="6"/>
      <c r="E12" s="9"/>
      <c r="F12" s="6"/>
      <c r="G12" s="6"/>
      <c r="H12" s="6"/>
      <c r="I12" s="8"/>
    </row>
    <row r="13" spans="1:9">
      <c r="A13" s="6"/>
      <c r="B13" s="6"/>
      <c r="C13" s="6"/>
      <c r="D13" s="6"/>
      <c r="E13" s="9"/>
      <c r="F13" s="6"/>
      <c r="G13" s="6"/>
      <c r="H13" s="6"/>
      <c r="I13" s="8"/>
    </row>
    <row r="14" spans="1:9">
      <c r="A14" s="6"/>
      <c r="B14" s="6"/>
      <c r="C14" s="6"/>
      <c r="D14" s="6"/>
      <c r="E14" s="9"/>
      <c r="F14" s="6"/>
      <c r="G14" s="6"/>
      <c r="H14" s="6"/>
      <c r="I14" s="8"/>
    </row>
    <row r="15" spans="1:9">
      <c r="A15" s="6"/>
      <c r="B15" s="6"/>
      <c r="C15" s="6"/>
      <c r="D15" s="6"/>
      <c r="E15" s="9"/>
      <c r="F15" s="6"/>
      <c r="G15" s="6"/>
      <c r="H15" s="6"/>
      <c r="I15" s="8"/>
    </row>
    <row r="16" spans="1:9">
      <c r="A16" s="6"/>
      <c r="B16" s="6"/>
      <c r="C16" s="6"/>
      <c r="D16" s="14"/>
      <c r="E16" s="9"/>
      <c r="F16" s="6"/>
      <c r="G16" s="6"/>
      <c r="H16" s="6"/>
      <c r="I16" s="8"/>
    </row>
    <row r="17" spans="1:9">
      <c r="A17" s="6"/>
      <c r="B17" s="6"/>
      <c r="C17" s="6"/>
      <c r="D17" s="6"/>
      <c r="E17" s="6"/>
      <c r="F17" s="6"/>
      <c r="G17" s="6"/>
      <c r="H17" s="14"/>
      <c r="I17" s="8"/>
    </row>
    <row r="18" spans="1:9">
      <c r="A18" s="6"/>
      <c r="B18" s="6"/>
      <c r="C18" s="6"/>
      <c r="D18" s="6"/>
      <c r="E18" s="6"/>
      <c r="F18" s="6"/>
      <c r="G18" s="6"/>
      <c r="H18" s="6"/>
      <c r="I18" s="8"/>
    </row>
    <row r="19" spans="1:9">
      <c r="A19" s="6"/>
      <c r="B19" s="6"/>
      <c r="C19" s="6"/>
      <c r="D19" s="6"/>
      <c r="E19" s="6"/>
      <c r="F19" s="6"/>
      <c r="G19" s="6"/>
      <c r="H19" s="6"/>
      <c r="I19" s="8"/>
    </row>
    <row r="20" spans="1:9">
      <c r="A20" t="s">
        <v>558</v>
      </c>
      <c r="C20" s="11">
        <f t="shared" ref="C20:H20" si="0">SUM(C3:C19)</f>
        <v>30000000</v>
      </c>
      <c r="D20" s="11">
        <f t="shared" si="0"/>
        <v>30000000</v>
      </c>
      <c r="E20" s="11">
        <f t="shared" si="0"/>
        <v>1800000</v>
      </c>
      <c r="F20" s="11">
        <f t="shared" si="0"/>
        <v>1800000</v>
      </c>
      <c r="G20" s="11">
        <f t="shared" si="0"/>
        <v>300000</v>
      </c>
      <c r="H20" s="11">
        <f t="shared" si="0"/>
        <v>3000000</v>
      </c>
      <c r="I20" s="11">
        <f>SUM(I3:I12)</f>
        <v>0</v>
      </c>
    </row>
  </sheetData>
  <mergeCells count="1">
    <mergeCell ref="A1:I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20"/>
  <sheetViews>
    <sheetView workbookViewId="0">
      <selection activeCell="A1" sqref="A1:K20"/>
    </sheetView>
  </sheetViews>
  <sheetFormatPr defaultColWidth="9" defaultRowHeight="13.5"/>
  <cols>
    <col min="1" max="1" width="10.5" customWidth="1"/>
    <col min="2" max="2" width="11.625" customWidth="1"/>
    <col min="3" max="4" width="17.25" customWidth="1"/>
    <col min="5" max="5" width="16.125" customWidth="1"/>
    <col min="6" max="7" width="13.875" customWidth="1"/>
    <col min="8" max="8" width="16.125" customWidth="1"/>
    <col min="9" max="9" width="9.75" customWidth="1"/>
  </cols>
  <sheetData>
    <row r="1" ht="18.75" spans="1:11">
      <c r="A1" s="2" t="s">
        <v>574</v>
      </c>
      <c r="B1" s="2"/>
      <c r="C1" s="2"/>
      <c r="D1" s="2"/>
      <c r="E1" s="2"/>
      <c r="F1" s="2"/>
      <c r="G1" s="2"/>
      <c r="H1" s="2"/>
      <c r="I1" s="2"/>
      <c r="J1" s="12" t="s">
        <v>544</v>
      </c>
      <c r="K1" s="12" t="s">
        <v>545</v>
      </c>
    </row>
    <row r="2" spans="1:9">
      <c r="A2" s="3" t="s">
        <v>2</v>
      </c>
      <c r="B2" s="3" t="s">
        <v>557</v>
      </c>
      <c r="C2" s="3" t="s">
        <v>6</v>
      </c>
      <c r="D2" s="3" t="s">
        <v>513</v>
      </c>
      <c r="E2" s="3" t="s">
        <v>515</v>
      </c>
      <c r="F2" s="3" t="s">
        <v>517</v>
      </c>
      <c r="G2" s="3" t="s">
        <v>519</v>
      </c>
      <c r="H2" s="4" t="s">
        <v>521</v>
      </c>
      <c r="I2" s="4" t="s">
        <v>522</v>
      </c>
    </row>
    <row r="3" spans="1:9">
      <c r="A3" s="6">
        <v>42499</v>
      </c>
      <c r="B3" s="6"/>
      <c r="C3" s="9">
        <v>30000000</v>
      </c>
      <c r="D3" s="9"/>
      <c r="E3" s="9"/>
      <c r="F3" s="9"/>
      <c r="G3" s="9"/>
      <c r="H3" s="9"/>
      <c r="I3" s="8"/>
    </row>
    <row r="4" spans="1:9">
      <c r="A4" s="6"/>
      <c r="B4" s="6">
        <v>42499</v>
      </c>
      <c r="C4" s="9"/>
      <c r="D4" s="9"/>
      <c r="E4" s="9"/>
      <c r="F4" s="9">
        <v>450000</v>
      </c>
      <c r="G4" s="9">
        <v>300000</v>
      </c>
      <c r="H4" s="9">
        <v>3000000</v>
      </c>
      <c r="I4" s="8"/>
    </row>
    <row r="5" spans="1:9">
      <c r="A5" s="6"/>
      <c r="B5" s="6">
        <v>42590</v>
      </c>
      <c r="C5" s="9"/>
      <c r="D5" s="9"/>
      <c r="E5" s="9">
        <v>675000</v>
      </c>
      <c r="F5" s="9"/>
      <c r="G5" s="9"/>
      <c r="H5" s="9"/>
      <c r="I5" s="8"/>
    </row>
    <row r="6" spans="1:9">
      <c r="A6" s="6"/>
      <c r="B6" s="6">
        <v>42678</v>
      </c>
      <c r="C6" s="9"/>
      <c r="D6" s="9">
        <v>30000000</v>
      </c>
      <c r="E6" s="9">
        <v>675000</v>
      </c>
      <c r="F6" s="9"/>
      <c r="G6" s="9"/>
      <c r="H6" s="9"/>
      <c r="I6" s="8"/>
    </row>
    <row r="7" spans="1:9">
      <c r="A7" s="24"/>
      <c r="B7" s="24"/>
      <c r="C7" s="25"/>
      <c r="D7" s="9"/>
      <c r="E7" s="25"/>
      <c r="F7" s="25"/>
      <c r="G7" s="25"/>
      <c r="H7" s="25"/>
      <c r="I7" s="8"/>
    </row>
    <row r="8" spans="1:9">
      <c r="A8" s="24"/>
      <c r="B8" s="26"/>
      <c r="C8" s="25"/>
      <c r="D8" s="8"/>
      <c r="E8" s="25"/>
      <c r="F8" s="25"/>
      <c r="G8" s="25"/>
      <c r="H8" s="25"/>
      <c r="I8" s="8"/>
    </row>
    <row r="9" spans="1:9">
      <c r="A9" s="13"/>
      <c r="B9" s="13"/>
      <c r="C9" s="9"/>
      <c r="D9" s="8"/>
      <c r="E9" s="9"/>
      <c r="F9" s="9"/>
      <c r="G9" s="9"/>
      <c r="H9" s="9"/>
      <c r="I9" s="8"/>
    </row>
    <row r="10" spans="1:9">
      <c r="A10" s="13"/>
      <c r="B10" s="13"/>
      <c r="C10" s="9"/>
      <c r="D10" s="6"/>
      <c r="E10" s="9"/>
      <c r="F10" s="9"/>
      <c r="G10" s="9"/>
      <c r="H10" s="9"/>
      <c r="I10" s="8"/>
    </row>
    <row r="11" spans="1:9">
      <c r="A11" s="6"/>
      <c r="B11" s="6"/>
      <c r="C11" s="6"/>
      <c r="D11" s="6"/>
      <c r="E11" s="9"/>
      <c r="F11" s="6"/>
      <c r="G11" s="6"/>
      <c r="H11" s="6"/>
      <c r="I11" s="8"/>
    </row>
    <row r="12" spans="1:9">
      <c r="A12" s="6"/>
      <c r="B12" s="6"/>
      <c r="C12" s="6"/>
      <c r="D12" s="6"/>
      <c r="E12" s="9"/>
      <c r="F12" s="6"/>
      <c r="G12" s="6"/>
      <c r="H12" s="6"/>
      <c r="I12" s="8"/>
    </row>
    <row r="13" spans="1:9">
      <c r="A13" s="6"/>
      <c r="B13" s="6"/>
      <c r="C13" s="6"/>
      <c r="D13" s="6"/>
      <c r="E13" s="9"/>
      <c r="F13" s="6"/>
      <c r="G13" s="6"/>
      <c r="H13" s="6"/>
      <c r="I13" s="8"/>
    </row>
    <row r="14" spans="1:9">
      <c r="A14" s="6"/>
      <c r="B14" s="6"/>
      <c r="C14" s="6"/>
      <c r="D14" s="6"/>
      <c r="E14" s="9"/>
      <c r="F14" s="6"/>
      <c r="G14" s="6"/>
      <c r="H14" s="6"/>
      <c r="I14" s="8"/>
    </row>
    <row r="15" spans="1:9">
      <c r="A15" s="6"/>
      <c r="B15" s="6"/>
      <c r="C15" s="6"/>
      <c r="D15" s="6"/>
      <c r="E15" s="9"/>
      <c r="F15" s="6"/>
      <c r="G15" s="6"/>
      <c r="H15" s="6"/>
      <c r="I15" s="8"/>
    </row>
    <row r="16" spans="1:9">
      <c r="A16" s="6"/>
      <c r="B16" s="6"/>
      <c r="C16" s="6"/>
      <c r="D16" s="14"/>
      <c r="E16" s="9"/>
      <c r="F16" s="6"/>
      <c r="G16" s="6"/>
      <c r="H16" s="6"/>
      <c r="I16" s="8"/>
    </row>
    <row r="17" spans="1:9">
      <c r="A17" s="6"/>
      <c r="B17" s="6"/>
      <c r="C17" s="6"/>
      <c r="D17" s="6"/>
      <c r="E17" s="6"/>
      <c r="F17" s="6"/>
      <c r="G17" s="6"/>
      <c r="H17" s="14"/>
      <c r="I17" s="8"/>
    </row>
    <row r="18" spans="1:9">
      <c r="A18" s="6"/>
      <c r="B18" s="6"/>
      <c r="C18" s="6"/>
      <c r="D18" s="6"/>
      <c r="E18" s="6"/>
      <c r="F18" s="6"/>
      <c r="G18" s="6"/>
      <c r="H18" s="6"/>
      <c r="I18" s="8"/>
    </row>
    <row r="19" spans="1:9">
      <c r="A19" s="6"/>
      <c r="B19" s="6"/>
      <c r="C19" s="6"/>
      <c r="D19" s="6"/>
      <c r="E19" s="6"/>
      <c r="F19" s="6"/>
      <c r="G19" s="6"/>
      <c r="H19" s="6"/>
      <c r="I19" s="8"/>
    </row>
    <row r="20" spans="1:9">
      <c r="A20" t="s">
        <v>558</v>
      </c>
      <c r="C20" s="11">
        <f t="shared" ref="C20:H20" si="0">SUM(C3:C19)</f>
        <v>30000000</v>
      </c>
      <c r="D20" s="11">
        <f t="shared" si="0"/>
        <v>30000000</v>
      </c>
      <c r="E20" s="11">
        <f t="shared" si="0"/>
        <v>1350000</v>
      </c>
      <c r="F20" s="11">
        <f t="shared" si="0"/>
        <v>450000</v>
      </c>
      <c r="G20" s="11">
        <f t="shared" si="0"/>
        <v>300000</v>
      </c>
      <c r="H20" s="11">
        <f t="shared" si="0"/>
        <v>3000000</v>
      </c>
      <c r="I20" s="11">
        <f>SUM(I3:I12)</f>
        <v>0</v>
      </c>
    </row>
  </sheetData>
  <mergeCells count="1">
    <mergeCell ref="A1:I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13"/>
  <sheetViews>
    <sheetView workbookViewId="0">
      <selection activeCell="A1" sqref="A1:K15"/>
    </sheetView>
  </sheetViews>
  <sheetFormatPr defaultColWidth="9" defaultRowHeight="13.5"/>
  <cols>
    <col min="2" max="2" width="10.5" customWidth="1"/>
    <col min="3" max="3" width="17.25" customWidth="1"/>
    <col min="5" max="5" width="16.125" customWidth="1"/>
    <col min="6" max="6" width="13.875" customWidth="1"/>
    <col min="7" max="7" width="7.75" customWidth="1"/>
    <col min="8" max="8" width="16.125" customWidth="1"/>
  </cols>
  <sheetData>
    <row r="1" ht="18.75" spans="1:11">
      <c r="A1" s="1" t="s">
        <v>575</v>
      </c>
      <c r="B1" s="1"/>
      <c r="C1" s="1"/>
      <c r="D1" s="1"/>
      <c r="E1" s="1"/>
      <c r="F1" s="1"/>
      <c r="G1" s="1"/>
      <c r="H1" s="2"/>
      <c r="I1" s="2"/>
      <c r="J1" s="12" t="s">
        <v>544</v>
      </c>
      <c r="K1" s="12" t="s">
        <v>545</v>
      </c>
    </row>
    <row r="2" spans="1:11">
      <c r="A2" s="3" t="s">
        <v>2</v>
      </c>
      <c r="B2" s="3" t="s">
        <v>546</v>
      </c>
      <c r="C2" s="3" t="s">
        <v>6</v>
      </c>
      <c r="D2" s="3" t="s">
        <v>513</v>
      </c>
      <c r="E2" s="3" t="s">
        <v>515</v>
      </c>
      <c r="F2" s="3" t="s">
        <v>547</v>
      </c>
      <c r="G2" s="3" t="s">
        <v>548</v>
      </c>
      <c r="H2" s="4" t="s">
        <v>549</v>
      </c>
      <c r="I2" s="4" t="s">
        <v>522</v>
      </c>
      <c r="K2" s="27"/>
    </row>
    <row r="3" spans="1:9">
      <c r="A3" s="6">
        <v>42528</v>
      </c>
      <c r="B3" s="13"/>
      <c r="C3" s="9">
        <v>30000000</v>
      </c>
      <c r="D3" s="9"/>
      <c r="E3" s="9"/>
      <c r="F3" s="9"/>
      <c r="G3" s="9"/>
      <c r="H3" s="9"/>
      <c r="I3" s="9"/>
    </row>
    <row r="4" spans="1:9">
      <c r="A4" s="6"/>
      <c r="B4" s="13">
        <v>42528</v>
      </c>
      <c r="C4" s="9"/>
      <c r="D4" s="9"/>
      <c r="E4" s="9"/>
      <c r="F4" s="9">
        <v>750000</v>
      </c>
      <c r="G4" s="9">
        <v>0</v>
      </c>
      <c r="H4" s="9">
        <v>3000000</v>
      </c>
      <c r="I4" s="9"/>
    </row>
    <row r="5" spans="1:9">
      <c r="A5" s="6"/>
      <c r="B5" s="6">
        <v>42618</v>
      </c>
      <c r="C5" s="9"/>
      <c r="D5" s="9"/>
      <c r="E5" s="9">
        <v>675000</v>
      </c>
      <c r="F5" s="9"/>
      <c r="G5" s="9"/>
      <c r="H5" s="9"/>
      <c r="I5" s="9"/>
    </row>
    <row r="6" spans="1:9">
      <c r="A6" s="6"/>
      <c r="B6" s="6">
        <v>42706</v>
      </c>
      <c r="C6" s="9"/>
      <c r="D6" s="9"/>
      <c r="E6" s="9">
        <v>675000</v>
      </c>
      <c r="F6" s="9"/>
      <c r="G6" s="9"/>
      <c r="H6" s="9"/>
      <c r="I6" s="9"/>
    </row>
    <row r="7" spans="1:9">
      <c r="A7" s="6"/>
      <c r="B7" s="6"/>
      <c r="C7" s="9"/>
      <c r="D7" s="9"/>
      <c r="E7" s="9"/>
      <c r="F7" s="9"/>
      <c r="G7" s="9"/>
      <c r="H7" s="9"/>
      <c r="I7" s="9"/>
    </row>
    <row r="8" spans="1:9">
      <c r="A8" s="13"/>
      <c r="B8" s="13"/>
      <c r="C8" s="9"/>
      <c r="D8" s="9"/>
      <c r="E8" s="9"/>
      <c r="F8" s="9"/>
      <c r="G8" s="9"/>
      <c r="H8" s="9"/>
      <c r="I8" s="9"/>
    </row>
    <row r="9" spans="1:9">
      <c r="A9" s="13"/>
      <c r="B9" s="13"/>
      <c r="C9" s="9"/>
      <c r="D9" s="9"/>
      <c r="E9" s="9"/>
      <c r="F9" s="9"/>
      <c r="G9" s="9"/>
      <c r="H9" s="9"/>
      <c r="I9" s="9"/>
    </row>
    <row r="10" spans="1:9">
      <c r="A10" s="13"/>
      <c r="B10" s="13"/>
      <c r="C10" s="9"/>
      <c r="D10" s="9"/>
      <c r="E10" s="9"/>
      <c r="F10" s="9"/>
      <c r="G10" s="9"/>
      <c r="H10" s="9"/>
      <c r="I10" s="9"/>
    </row>
    <row r="11" spans="1:9">
      <c r="A11" s="13"/>
      <c r="B11" s="13"/>
      <c r="C11" s="9"/>
      <c r="D11" s="9"/>
      <c r="E11" s="9"/>
      <c r="F11" s="9"/>
      <c r="G11" s="9"/>
      <c r="H11" s="9"/>
      <c r="I11" s="9"/>
    </row>
    <row r="13" spans="1:9">
      <c r="A13" t="s">
        <v>12</v>
      </c>
      <c r="C13" s="11">
        <f t="shared" ref="C13:I13" si="0">SUM(C3:C12)</f>
        <v>30000000</v>
      </c>
      <c r="D13" s="11">
        <f t="shared" si="0"/>
        <v>0</v>
      </c>
      <c r="E13" s="11">
        <f t="shared" si="0"/>
        <v>1350000</v>
      </c>
      <c r="F13" s="11">
        <f t="shared" si="0"/>
        <v>750000</v>
      </c>
      <c r="G13" s="11">
        <f t="shared" si="0"/>
        <v>0</v>
      </c>
      <c r="H13" s="11">
        <f t="shared" si="0"/>
        <v>3000000</v>
      </c>
      <c r="I13" s="11">
        <f t="shared" si="0"/>
        <v>0</v>
      </c>
    </row>
  </sheetData>
  <mergeCells count="1">
    <mergeCell ref="A1:G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13"/>
  <sheetViews>
    <sheetView workbookViewId="0">
      <selection activeCell="J1" sqref="J1"/>
    </sheetView>
  </sheetViews>
  <sheetFormatPr defaultColWidth="9" defaultRowHeight="13.5"/>
  <cols>
    <col min="1" max="2" width="10.5" customWidth="1"/>
    <col min="3" max="4" width="17.25" customWidth="1"/>
    <col min="5" max="6" width="16.125" customWidth="1"/>
    <col min="7" max="7" width="7.75" customWidth="1"/>
    <col min="8" max="8" width="16.125" customWidth="1"/>
  </cols>
  <sheetData>
    <row r="1" ht="18.75" spans="1:11">
      <c r="A1" s="1" t="s">
        <v>576</v>
      </c>
      <c r="B1" s="1"/>
      <c r="C1" s="1"/>
      <c r="D1" s="1"/>
      <c r="E1" s="1"/>
      <c r="F1" s="1"/>
      <c r="G1" s="1"/>
      <c r="H1" s="2"/>
      <c r="I1" s="2"/>
      <c r="J1" s="12" t="s">
        <v>544</v>
      </c>
      <c r="K1" s="12" t="s">
        <v>545</v>
      </c>
    </row>
    <row r="2" spans="1:11">
      <c r="A2" s="3" t="s">
        <v>2</v>
      </c>
      <c r="B2" s="3" t="s">
        <v>546</v>
      </c>
      <c r="C2" s="3" t="s">
        <v>6</v>
      </c>
      <c r="D2" s="3" t="s">
        <v>513</v>
      </c>
      <c r="E2" s="3" t="s">
        <v>515</v>
      </c>
      <c r="F2" s="3" t="s">
        <v>547</v>
      </c>
      <c r="G2" s="3" t="s">
        <v>548</v>
      </c>
      <c r="H2" s="4" t="s">
        <v>549</v>
      </c>
      <c r="I2" s="4" t="s">
        <v>522</v>
      </c>
      <c r="K2" s="27"/>
    </row>
    <row r="3" spans="1:9">
      <c r="A3" s="6">
        <v>42559</v>
      </c>
      <c r="B3" s="28"/>
      <c r="C3" s="9">
        <v>10000000</v>
      </c>
      <c r="D3" s="9"/>
      <c r="E3" s="9"/>
      <c r="F3" s="9"/>
      <c r="G3" s="9"/>
      <c r="H3" s="9"/>
      <c r="I3" s="9"/>
    </row>
    <row r="4" spans="1:9">
      <c r="A4" s="6">
        <v>42562</v>
      </c>
      <c r="B4" s="28"/>
      <c r="C4" s="9">
        <v>30000000</v>
      </c>
      <c r="D4" s="9"/>
      <c r="E4" s="9"/>
      <c r="F4" s="9"/>
      <c r="G4" s="9"/>
      <c r="H4" s="9"/>
      <c r="I4" s="9"/>
    </row>
    <row r="5" spans="1:9">
      <c r="A5" s="6"/>
      <c r="B5" s="6">
        <v>42562</v>
      </c>
      <c r="C5" s="9"/>
      <c r="D5" s="9"/>
      <c r="E5" s="9">
        <v>0</v>
      </c>
      <c r="F5" s="9">
        <v>1000000</v>
      </c>
      <c r="G5" s="9"/>
      <c r="H5" s="9">
        <v>4000000</v>
      </c>
      <c r="I5" s="9"/>
    </row>
    <row r="6" spans="1:9">
      <c r="A6" s="6"/>
      <c r="B6" s="6">
        <v>42652</v>
      </c>
      <c r="C6" s="9"/>
      <c r="D6" s="9"/>
      <c r="E6" s="9">
        <v>900000</v>
      </c>
      <c r="F6" s="9"/>
      <c r="G6" s="9"/>
      <c r="H6" s="9"/>
      <c r="I6" s="9"/>
    </row>
    <row r="7" spans="1:9">
      <c r="A7" s="6"/>
      <c r="B7" s="13" t="s">
        <v>577</v>
      </c>
      <c r="C7" s="9"/>
      <c r="D7" s="9">
        <v>40000000</v>
      </c>
      <c r="E7" s="9">
        <v>900000</v>
      </c>
      <c r="F7" s="9"/>
      <c r="G7" s="9"/>
      <c r="H7" s="9"/>
      <c r="I7" s="9"/>
    </row>
    <row r="8" spans="1:9">
      <c r="A8" s="13"/>
      <c r="B8" s="13"/>
      <c r="C8" s="9"/>
      <c r="D8" s="9"/>
      <c r="E8" s="9"/>
      <c r="F8" s="9"/>
      <c r="G8" s="9"/>
      <c r="H8" s="9"/>
      <c r="I8" s="9"/>
    </row>
    <row r="9" spans="1:9">
      <c r="A9" s="13"/>
      <c r="B9" s="13"/>
      <c r="C9" s="9"/>
      <c r="D9" s="9"/>
      <c r="E9" s="9"/>
      <c r="F9" s="9"/>
      <c r="G9" s="9"/>
      <c r="H9" s="9"/>
      <c r="I9" s="9"/>
    </row>
    <row r="10" spans="1:9">
      <c r="A10" s="13"/>
      <c r="B10" s="13"/>
      <c r="C10" s="9"/>
      <c r="D10" s="9"/>
      <c r="E10" s="9"/>
      <c r="F10" s="9"/>
      <c r="G10" s="9"/>
      <c r="H10" s="9"/>
      <c r="I10" s="9"/>
    </row>
    <row r="11" spans="1:9">
      <c r="A11" s="13"/>
      <c r="B11" s="13"/>
      <c r="C11" s="9"/>
      <c r="D11" s="9"/>
      <c r="E11" s="9"/>
      <c r="F11" s="9"/>
      <c r="G11" s="9"/>
      <c r="H11" s="9"/>
      <c r="I11" s="9"/>
    </row>
    <row r="13" spans="1:9">
      <c r="A13" t="s">
        <v>12</v>
      </c>
      <c r="C13" s="11">
        <f t="shared" ref="C13:I13" si="0">SUM(C3:C12)</f>
        <v>40000000</v>
      </c>
      <c r="D13" s="11">
        <f t="shared" si="0"/>
        <v>40000000</v>
      </c>
      <c r="E13" s="11">
        <f t="shared" si="0"/>
        <v>1800000</v>
      </c>
      <c r="F13" s="11">
        <f t="shared" si="0"/>
        <v>1000000</v>
      </c>
      <c r="G13" s="11">
        <f t="shared" si="0"/>
        <v>0</v>
      </c>
      <c r="H13" s="11">
        <f t="shared" si="0"/>
        <v>4000000</v>
      </c>
      <c r="I13" s="11">
        <f t="shared" si="0"/>
        <v>0</v>
      </c>
    </row>
  </sheetData>
  <mergeCells count="1">
    <mergeCell ref="A1:G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12"/>
  <sheetViews>
    <sheetView workbookViewId="0">
      <selection activeCell="J1" sqref="J1"/>
    </sheetView>
  </sheetViews>
  <sheetFormatPr defaultColWidth="9" defaultRowHeight="13.5"/>
  <cols>
    <col min="1" max="2" width="10.5" customWidth="1"/>
    <col min="3" max="4" width="17.25" customWidth="1"/>
    <col min="5" max="6" width="16.125" customWidth="1"/>
    <col min="7" max="7" width="7.75" customWidth="1"/>
    <col min="8" max="8" width="17.25" customWidth="1"/>
  </cols>
  <sheetData>
    <row r="1" ht="18.75" spans="1:11">
      <c r="A1" s="1" t="s">
        <v>578</v>
      </c>
      <c r="B1" s="1"/>
      <c r="C1" s="1"/>
      <c r="D1" s="1"/>
      <c r="E1" s="1"/>
      <c r="F1" s="1"/>
      <c r="G1" s="1"/>
      <c r="H1" s="2"/>
      <c r="I1" s="2"/>
      <c r="J1" s="12" t="s">
        <v>544</v>
      </c>
      <c r="K1" s="12" t="s">
        <v>545</v>
      </c>
    </row>
    <row r="2" spans="1:11">
      <c r="A2" s="3" t="s">
        <v>2</v>
      </c>
      <c r="B2" s="3" t="s">
        <v>546</v>
      </c>
      <c r="C2" s="3" t="s">
        <v>6</v>
      </c>
      <c r="D2" s="3" t="s">
        <v>513</v>
      </c>
      <c r="E2" s="3" t="s">
        <v>515</v>
      </c>
      <c r="F2" s="3" t="s">
        <v>547</v>
      </c>
      <c r="G2" s="3" t="s">
        <v>548</v>
      </c>
      <c r="H2" s="4" t="s">
        <v>549</v>
      </c>
      <c r="I2" s="4" t="s">
        <v>522</v>
      </c>
      <c r="K2" s="27"/>
    </row>
    <row r="3" spans="1:9">
      <c r="A3" s="6">
        <v>42652</v>
      </c>
      <c r="B3" s="13"/>
      <c r="C3" s="8">
        <v>50000000</v>
      </c>
      <c r="D3" s="9"/>
      <c r="E3" s="9"/>
      <c r="F3" s="9"/>
      <c r="G3" s="9"/>
      <c r="H3" s="9"/>
      <c r="I3" s="9"/>
    </row>
    <row r="4" spans="1:9">
      <c r="A4" s="6"/>
      <c r="B4" s="6">
        <v>42652</v>
      </c>
      <c r="C4" s="8"/>
      <c r="D4" s="9"/>
      <c r="E4" s="8"/>
      <c r="F4" s="8">
        <v>1250000</v>
      </c>
      <c r="G4" s="8">
        <v>0</v>
      </c>
      <c r="H4" s="8">
        <v>5000000</v>
      </c>
      <c r="I4" s="9"/>
    </row>
    <row r="5" spans="1:9">
      <c r="A5" s="6"/>
      <c r="B5" s="13">
        <v>42743</v>
      </c>
      <c r="C5" s="8"/>
      <c r="D5" s="9"/>
      <c r="E5" s="8">
        <v>1125000</v>
      </c>
      <c r="F5" s="8"/>
      <c r="G5" s="8"/>
      <c r="H5" s="8"/>
      <c r="I5" s="9"/>
    </row>
    <row r="6" spans="1:9">
      <c r="A6" s="6"/>
      <c r="B6" s="6">
        <v>42832</v>
      </c>
      <c r="C6" s="8"/>
      <c r="D6" s="9">
        <v>50000000</v>
      </c>
      <c r="E6" s="8">
        <v>1125000</v>
      </c>
      <c r="F6" s="8"/>
      <c r="G6" s="8"/>
      <c r="H6" s="8">
        <v>-5000000</v>
      </c>
      <c r="I6" s="9"/>
    </row>
    <row r="7" spans="1:9">
      <c r="A7" s="13"/>
      <c r="B7" s="13"/>
      <c r="C7" s="9"/>
      <c r="D7" s="9"/>
      <c r="E7" s="9"/>
      <c r="F7" s="9"/>
      <c r="G7" s="9"/>
      <c r="H7" s="9"/>
      <c r="I7" s="9"/>
    </row>
    <row r="8" spans="1:9">
      <c r="A8" s="13"/>
      <c r="B8" s="13"/>
      <c r="C8" s="9"/>
      <c r="D8" s="9"/>
      <c r="E8" s="9"/>
      <c r="F8" s="9"/>
      <c r="G8" s="9"/>
      <c r="H8" s="9"/>
      <c r="I8" s="9"/>
    </row>
    <row r="9" spans="1:9">
      <c r="A9" s="13"/>
      <c r="B9" s="13"/>
      <c r="C9" s="9"/>
      <c r="D9" s="9"/>
      <c r="E9" s="9"/>
      <c r="F9" s="9"/>
      <c r="G9" s="9"/>
      <c r="H9" s="9"/>
      <c r="I9" s="9"/>
    </row>
    <row r="10" spans="1:9">
      <c r="A10" s="13"/>
      <c r="B10" s="13"/>
      <c r="C10" s="9"/>
      <c r="D10" s="9"/>
      <c r="E10" s="9"/>
      <c r="F10" s="9"/>
      <c r="G10" s="9"/>
      <c r="H10" s="9"/>
      <c r="I10" s="9"/>
    </row>
    <row r="12" spans="1:9">
      <c r="A12" t="s">
        <v>12</v>
      </c>
      <c r="C12" s="11">
        <f t="shared" ref="C12:I12" si="0">SUM(C3:C11)</f>
        <v>50000000</v>
      </c>
      <c r="D12" s="11">
        <f t="shared" si="0"/>
        <v>50000000</v>
      </c>
      <c r="E12" s="11">
        <f t="shared" si="0"/>
        <v>2250000</v>
      </c>
      <c r="F12" s="11">
        <f t="shared" si="0"/>
        <v>1250000</v>
      </c>
      <c r="G12" s="11">
        <f t="shared" si="0"/>
        <v>0</v>
      </c>
      <c r="H12" s="11">
        <f t="shared" si="0"/>
        <v>0</v>
      </c>
      <c r="I12" s="11">
        <f t="shared" si="0"/>
        <v>0</v>
      </c>
    </row>
  </sheetData>
  <mergeCells count="1">
    <mergeCell ref="A1:G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20"/>
  <sheetViews>
    <sheetView workbookViewId="0">
      <selection activeCell="J1" sqref="J1"/>
    </sheetView>
  </sheetViews>
  <sheetFormatPr defaultColWidth="9" defaultRowHeight="13.5"/>
  <cols>
    <col min="2" max="2" width="11.625" customWidth="1"/>
    <col min="3" max="3" width="17.25" customWidth="1"/>
    <col min="4" max="4" width="9.75" customWidth="1"/>
    <col min="5" max="6" width="16.125" customWidth="1"/>
    <col min="7" max="7" width="11.875" customWidth="1"/>
    <col min="8" max="8" width="17.25" customWidth="1"/>
    <col min="9" max="9" width="9.75" customWidth="1"/>
  </cols>
  <sheetData>
    <row r="1" ht="18.75" spans="1:11">
      <c r="A1" s="2" t="s">
        <v>579</v>
      </c>
      <c r="B1" s="2"/>
      <c r="C1" s="2"/>
      <c r="D1" s="2"/>
      <c r="E1" s="2"/>
      <c r="F1" s="2"/>
      <c r="G1" s="2"/>
      <c r="H1" s="2"/>
      <c r="I1" s="2"/>
      <c r="J1" s="12" t="s">
        <v>544</v>
      </c>
      <c r="K1" s="12" t="s">
        <v>545</v>
      </c>
    </row>
    <row r="2" spans="1:9">
      <c r="A2" s="3" t="s">
        <v>2</v>
      </c>
      <c r="B2" s="3" t="s">
        <v>557</v>
      </c>
      <c r="C2" s="3" t="s">
        <v>6</v>
      </c>
      <c r="D2" s="3" t="s">
        <v>513</v>
      </c>
      <c r="E2" s="3" t="s">
        <v>515</v>
      </c>
      <c r="F2" s="3" t="s">
        <v>517</v>
      </c>
      <c r="G2" s="3" t="s">
        <v>519</v>
      </c>
      <c r="H2" s="4" t="s">
        <v>521</v>
      </c>
      <c r="I2" s="4" t="s">
        <v>522</v>
      </c>
    </row>
    <row r="3" spans="1:9">
      <c r="A3" s="6">
        <v>42522</v>
      </c>
      <c r="B3" s="6"/>
      <c r="C3" s="9">
        <v>28500000</v>
      </c>
      <c r="D3" s="9"/>
      <c r="E3" s="9"/>
      <c r="F3" s="9"/>
      <c r="G3" s="9"/>
      <c r="H3" s="9"/>
      <c r="I3" s="8"/>
    </row>
    <row r="4" spans="1:9">
      <c r="A4" s="6"/>
      <c r="B4" s="6">
        <v>42522</v>
      </c>
      <c r="C4" s="9"/>
      <c r="D4" s="9"/>
      <c r="E4" s="9"/>
      <c r="F4" s="9">
        <v>1140000</v>
      </c>
      <c r="G4" s="9">
        <v>0</v>
      </c>
      <c r="H4" s="9">
        <v>2850000</v>
      </c>
      <c r="I4" s="8"/>
    </row>
    <row r="5" spans="1:9">
      <c r="A5" s="6"/>
      <c r="B5" s="6">
        <v>42704</v>
      </c>
      <c r="C5" s="9"/>
      <c r="D5" s="9"/>
      <c r="E5" s="9">
        <v>1425000</v>
      </c>
      <c r="F5" s="9"/>
      <c r="G5" s="9"/>
      <c r="H5" s="9">
        <v>-2850000</v>
      </c>
      <c r="I5" s="8"/>
    </row>
    <row r="6" spans="1:9">
      <c r="A6" s="6"/>
      <c r="B6" s="6"/>
      <c r="C6" s="9"/>
      <c r="D6" s="9"/>
      <c r="E6" s="9"/>
      <c r="F6" s="9"/>
      <c r="G6" s="9"/>
      <c r="H6" s="9"/>
      <c r="I6" s="8"/>
    </row>
    <row r="7" spans="1:9">
      <c r="A7" s="24"/>
      <c r="B7" s="24"/>
      <c r="C7" s="25"/>
      <c r="D7" s="9"/>
      <c r="E7" s="25"/>
      <c r="F7" s="25"/>
      <c r="G7" s="25"/>
      <c r="H7" s="25"/>
      <c r="I7" s="8"/>
    </row>
    <row r="8" spans="1:9">
      <c r="A8" s="24"/>
      <c r="B8" s="26"/>
      <c r="C8" s="25"/>
      <c r="D8" s="8"/>
      <c r="E8" s="25"/>
      <c r="F8" s="25"/>
      <c r="G8" s="25"/>
      <c r="H8" s="25"/>
      <c r="I8" s="8"/>
    </row>
    <row r="9" spans="1:9">
      <c r="A9" s="13"/>
      <c r="B9" s="13"/>
      <c r="C9" s="9"/>
      <c r="D9" s="8"/>
      <c r="E9" s="9"/>
      <c r="F9" s="9"/>
      <c r="G9" s="9"/>
      <c r="H9" s="9"/>
      <c r="I9" s="8"/>
    </row>
    <row r="10" spans="1:9">
      <c r="A10" s="13"/>
      <c r="B10" s="13"/>
      <c r="C10" s="9"/>
      <c r="D10" s="6"/>
      <c r="E10" s="9"/>
      <c r="F10" s="9"/>
      <c r="G10" s="9"/>
      <c r="H10" s="9"/>
      <c r="I10" s="8"/>
    </row>
    <row r="11" spans="1:9">
      <c r="A11" s="6"/>
      <c r="B11" s="6"/>
      <c r="C11" s="6"/>
      <c r="D11" s="6"/>
      <c r="E11" s="9"/>
      <c r="F11" s="6"/>
      <c r="G11" s="6"/>
      <c r="H11" s="6"/>
      <c r="I11" s="8"/>
    </row>
    <row r="12" spans="1:9">
      <c r="A12" s="6"/>
      <c r="B12" s="6"/>
      <c r="C12" s="6"/>
      <c r="D12" s="6"/>
      <c r="E12" s="9"/>
      <c r="F12" s="6"/>
      <c r="G12" s="6"/>
      <c r="H12" s="6"/>
      <c r="I12" s="8"/>
    </row>
    <row r="13" spans="1:9">
      <c r="A13" s="6"/>
      <c r="B13" s="6"/>
      <c r="C13" s="6"/>
      <c r="D13" s="6"/>
      <c r="E13" s="9"/>
      <c r="F13" s="6"/>
      <c r="G13" s="6"/>
      <c r="H13" s="6"/>
      <c r="I13" s="8"/>
    </row>
    <row r="14" spans="1:9">
      <c r="A14" s="6"/>
      <c r="B14" s="6"/>
      <c r="C14" s="6"/>
      <c r="D14" s="6"/>
      <c r="E14" s="9"/>
      <c r="F14" s="6"/>
      <c r="G14" s="6"/>
      <c r="H14" s="6"/>
      <c r="I14" s="8"/>
    </row>
    <row r="15" spans="1:9">
      <c r="A15" s="6"/>
      <c r="B15" s="6"/>
      <c r="C15" s="6"/>
      <c r="D15" s="6"/>
      <c r="E15" s="9"/>
      <c r="F15" s="6"/>
      <c r="G15" s="6"/>
      <c r="H15" s="6"/>
      <c r="I15" s="8"/>
    </row>
    <row r="16" spans="1:9">
      <c r="A16" s="6"/>
      <c r="B16" s="6"/>
      <c r="C16" s="6"/>
      <c r="D16" s="14"/>
      <c r="E16" s="9"/>
      <c r="F16" s="6"/>
      <c r="G16" s="6"/>
      <c r="H16" s="6"/>
      <c r="I16" s="8"/>
    </row>
    <row r="17" spans="1:9">
      <c r="A17" s="6"/>
      <c r="B17" s="6"/>
      <c r="C17" s="6"/>
      <c r="D17" s="6"/>
      <c r="E17" s="6"/>
      <c r="F17" s="6"/>
      <c r="G17" s="6"/>
      <c r="H17" s="14"/>
      <c r="I17" s="8"/>
    </row>
    <row r="18" spans="1:9">
      <c r="A18" s="6"/>
      <c r="B18" s="6"/>
      <c r="C18" s="6"/>
      <c r="D18" s="6"/>
      <c r="E18" s="6"/>
      <c r="F18" s="6"/>
      <c r="G18" s="6"/>
      <c r="H18" s="6"/>
      <c r="I18" s="8"/>
    </row>
    <row r="19" spans="1:9">
      <c r="A19" s="6"/>
      <c r="B19" s="6"/>
      <c r="C19" s="6"/>
      <c r="D19" s="6"/>
      <c r="E19" s="6"/>
      <c r="F19" s="6"/>
      <c r="G19" s="6"/>
      <c r="H19" s="6"/>
      <c r="I19" s="8"/>
    </row>
    <row r="20" spans="1:9">
      <c r="A20" t="s">
        <v>558</v>
      </c>
      <c r="C20" s="11">
        <f t="shared" ref="C20:H20" si="0">SUM(C3:C19)</f>
        <v>28500000</v>
      </c>
      <c r="D20" s="11">
        <f t="shared" si="0"/>
        <v>0</v>
      </c>
      <c r="E20" s="11">
        <f t="shared" si="0"/>
        <v>1425000</v>
      </c>
      <c r="F20" s="11">
        <f t="shared" si="0"/>
        <v>1140000</v>
      </c>
      <c r="G20" s="11">
        <f t="shared" si="0"/>
        <v>0</v>
      </c>
      <c r="H20" s="11">
        <f t="shared" si="0"/>
        <v>0</v>
      </c>
      <c r="I20" s="11">
        <f>SUM(I3:I12)</f>
        <v>0</v>
      </c>
    </row>
  </sheetData>
  <mergeCells count="1">
    <mergeCell ref="A1:I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20"/>
  <sheetViews>
    <sheetView workbookViewId="0">
      <selection activeCell="K1" sqref="K1"/>
    </sheetView>
  </sheetViews>
  <sheetFormatPr defaultColWidth="9" defaultRowHeight="13.5"/>
  <cols>
    <col min="1" max="1" width="10.5" customWidth="1"/>
    <col min="2" max="2" width="11.625" customWidth="1"/>
    <col min="3" max="4" width="17.25" customWidth="1"/>
    <col min="5" max="5" width="16.125" customWidth="1"/>
    <col min="6" max="6" width="17.25" customWidth="1"/>
    <col min="7" max="7" width="13.875" customWidth="1"/>
    <col min="8" max="8" width="17.25" customWidth="1"/>
    <col min="9" max="9" width="9.75" customWidth="1"/>
  </cols>
  <sheetData>
    <row r="1" ht="18.75" spans="1:11">
      <c r="A1" s="2" t="s">
        <v>580</v>
      </c>
      <c r="B1" s="2"/>
      <c r="C1" s="2"/>
      <c r="D1" s="2"/>
      <c r="E1" s="2"/>
      <c r="F1" s="2"/>
      <c r="G1" s="2"/>
      <c r="H1" s="2"/>
      <c r="I1" s="2"/>
      <c r="J1" s="12" t="s">
        <v>544</v>
      </c>
      <c r="K1" s="12" t="s">
        <v>545</v>
      </c>
    </row>
    <row r="2" spans="1:9">
      <c r="A2" s="3" t="s">
        <v>2</v>
      </c>
      <c r="B2" s="3" t="s">
        <v>557</v>
      </c>
      <c r="C2" s="3" t="s">
        <v>6</v>
      </c>
      <c r="D2" s="3" t="s">
        <v>513</v>
      </c>
      <c r="E2" s="3" t="s">
        <v>515</v>
      </c>
      <c r="F2" s="3" t="s">
        <v>517</v>
      </c>
      <c r="G2" s="3" t="s">
        <v>519</v>
      </c>
      <c r="H2" s="4" t="s">
        <v>521</v>
      </c>
      <c r="I2" s="4" t="s">
        <v>522</v>
      </c>
    </row>
    <row r="3" spans="1:9">
      <c r="A3" s="6">
        <v>42508</v>
      </c>
      <c r="B3" s="6"/>
      <c r="C3" s="9">
        <v>27000000</v>
      </c>
      <c r="D3" s="9"/>
      <c r="E3" s="9"/>
      <c r="F3" s="9"/>
      <c r="G3" s="9">
        <v>0</v>
      </c>
      <c r="H3" s="9"/>
      <c r="I3" s="8"/>
    </row>
    <row r="4" spans="1:9">
      <c r="A4" s="6"/>
      <c r="B4" s="6">
        <v>42508</v>
      </c>
      <c r="C4" s="9"/>
      <c r="D4" s="9"/>
      <c r="E4" s="9"/>
      <c r="F4" s="9">
        <v>1620000</v>
      </c>
      <c r="G4" s="9"/>
      <c r="H4" s="9">
        <v>2700000</v>
      </c>
      <c r="I4" s="8"/>
    </row>
    <row r="5" spans="1:9">
      <c r="A5" s="6"/>
      <c r="B5" s="6">
        <v>42541</v>
      </c>
      <c r="C5" s="9"/>
      <c r="D5" s="9"/>
      <c r="E5" s="9">
        <v>202500</v>
      </c>
      <c r="F5" s="9"/>
      <c r="G5" s="9"/>
      <c r="H5" s="9"/>
      <c r="I5" s="8"/>
    </row>
    <row r="6" spans="1:9">
      <c r="A6" s="6"/>
      <c r="B6" s="6">
        <v>42571</v>
      </c>
      <c r="C6" s="9"/>
      <c r="D6" s="9"/>
      <c r="E6" s="9">
        <v>202500</v>
      </c>
      <c r="F6" s="9"/>
      <c r="G6" s="9"/>
      <c r="H6" s="9"/>
      <c r="I6" s="8"/>
    </row>
    <row r="7" spans="1:9">
      <c r="A7" s="6"/>
      <c r="B7" s="6">
        <v>42601</v>
      </c>
      <c r="C7" s="9"/>
      <c r="D7" s="9"/>
      <c r="E7" s="9">
        <v>202500</v>
      </c>
      <c r="F7" s="9"/>
      <c r="G7" s="9"/>
      <c r="H7" s="9"/>
      <c r="I7" s="8"/>
    </row>
    <row r="8" spans="1:9">
      <c r="A8" s="6"/>
      <c r="B8" s="6">
        <v>42622</v>
      </c>
      <c r="C8" s="9"/>
      <c r="D8" s="8"/>
      <c r="E8" s="9"/>
      <c r="F8" s="9"/>
      <c r="G8" s="9"/>
      <c r="H8" s="9"/>
      <c r="I8" s="8"/>
    </row>
    <row r="9" spans="1:9">
      <c r="A9" s="6"/>
      <c r="B9" s="6">
        <v>42626</v>
      </c>
      <c r="C9" s="9"/>
      <c r="D9" s="8">
        <v>27000000</v>
      </c>
      <c r="E9" s="9">
        <v>162000</v>
      </c>
      <c r="F9" s="9">
        <v>-1107000</v>
      </c>
      <c r="G9" s="9"/>
      <c r="H9" s="9">
        <v>-2700000</v>
      </c>
      <c r="I9" s="8"/>
    </row>
    <row r="10" spans="1:9">
      <c r="A10" s="13"/>
      <c r="B10" s="13"/>
      <c r="C10" s="9"/>
      <c r="D10" s="6"/>
      <c r="E10" s="9"/>
      <c r="F10" s="9"/>
      <c r="G10" s="9"/>
      <c r="H10" s="9"/>
      <c r="I10" s="8"/>
    </row>
    <row r="11" spans="1:9">
      <c r="A11" s="6"/>
      <c r="B11" s="6"/>
      <c r="C11" s="6"/>
      <c r="D11" s="6"/>
      <c r="E11" s="9"/>
      <c r="F11" s="6"/>
      <c r="G11" s="6"/>
      <c r="H11" s="6"/>
      <c r="I11" s="8"/>
    </row>
    <row r="12" spans="1:9">
      <c r="A12" s="6"/>
      <c r="B12" s="6"/>
      <c r="C12" s="6"/>
      <c r="D12" s="6"/>
      <c r="E12" s="9"/>
      <c r="F12" s="6"/>
      <c r="G12" s="6"/>
      <c r="H12" s="6"/>
      <c r="I12" s="8"/>
    </row>
    <row r="13" spans="1:9">
      <c r="A13" s="6"/>
      <c r="B13" s="6"/>
      <c r="C13" s="6"/>
      <c r="D13" s="6"/>
      <c r="E13" s="9"/>
      <c r="F13" s="6"/>
      <c r="G13" s="6"/>
      <c r="H13" s="6"/>
      <c r="I13" s="8"/>
    </row>
    <row r="14" spans="1:9">
      <c r="A14" s="6"/>
      <c r="B14" s="6"/>
      <c r="C14" s="6"/>
      <c r="D14" s="6"/>
      <c r="E14" s="9"/>
      <c r="F14" s="6"/>
      <c r="G14" s="6"/>
      <c r="H14" s="6"/>
      <c r="I14" s="8"/>
    </row>
    <row r="15" spans="1:9">
      <c r="A15" s="6"/>
      <c r="B15" s="6"/>
      <c r="C15" s="6"/>
      <c r="D15" s="6"/>
      <c r="E15" s="9"/>
      <c r="F15" s="6"/>
      <c r="G15" s="6"/>
      <c r="H15" s="6"/>
      <c r="I15" s="8"/>
    </row>
    <row r="16" spans="1:9">
      <c r="A16" s="6"/>
      <c r="B16" s="6"/>
      <c r="C16" s="6"/>
      <c r="D16" s="14"/>
      <c r="E16" s="9"/>
      <c r="F16" s="6"/>
      <c r="G16" s="6"/>
      <c r="H16" s="6"/>
      <c r="I16" s="8"/>
    </row>
    <row r="17" spans="1:9">
      <c r="A17" s="6"/>
      <c r="B17" s="6"/>
      <c r="C17" s="6"/>
      <c r="D17" s="6"/>
      <c r="E17" s="6"/>
      <c r="F17" s="6"/>
      <c r="G17" s="6"/>
      <c r="H17" s="14"/>
      <c r="I17" s="8"/>
    </row>
    <row r="18" spans="1:9">
      <c r="A18" s="6"/>
      <c r="B18" s="6"/>
      <c r="C18" s="6"/>
      <c r="D18" s="6"/>
      <c r="E18" s="6"/>
      <c r="F18" s="6"/>
      <c r="G18" s="6"/>
      <c r="H18" s="6"/>
      <c r="I18" s="8"/>
    </row>
    <row r="19" spans="1:9">
      <c r="A19" s="6"/>
      <c r="B19" s="6"/>
      <c r="C19" s="6"/>
      <c r="D19" s="6"/>
      <c r="E19" s="6"/>
      <c r="F19" s="6"/>
      <c r="G19" s="6"/>
      <c r="H19" s="6"/>
      <c r="I19" s="8"/>
    </row>
    <row r="20" spans="1:9">
      <c r="A20" t="s">
        <v>558</v>
      </c>
      <c r="C20" s="11">
        <f t="shared" ref="C20:H20" si="0">SUM(C3:C19)</f>
        <v>27000000</v>
      </c>
      <c r="D20" s="11">
        <f t="shared" si="0"/>
        <v>27000000</v>
      </c>
      <c r="E20" s="11">
        <f t="shared" si="0"/>
        <v>769500</v>
      </c>
      <c r="F20" s="11">
        <f t="shared" si="0"/>
        <v>513000</v>
      </c>
      <c r="G20" s="11">
        <f t="shared" si="0"/>
        <v>0</v>
      </c>
      <c r="H20" s="11">
        <f t="shared" si="0"/>
        <v>0</v>
      </c>
      <c r="I20" s="11">
        <f>SUM(I3:I12)</f>
        <v>0</v>
      </c>
    </row>
  </sheetData>
  <mergeCells count="1">
    <mergeCell ref="A1:I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20"/>
  <sheetViews>
    <sheetView workbookViewId="0">
      <selection activeCell="A1" sqref="A1:K20"/>
    </sheetView>
  </sheetViews>
  <sheetFormatPr defaultColWidth="9" defaultRowHeight="13.5"/>
  <cols>
    <col min="1" max="1" width="10.5" customWidth="1"/>
    <col min="2" max="2" width="11.625" customWidth="1"/>
    <col min="3" max="4" width="17.25" customWidth="1"/>
    <col min="5" max="5" width="16.125" customWidth="1"/>
    <col min="6" max="6" width="13.875" customWidth="1"/>
    <col min="7" max="7" width="16.125" customWidth="1"/>
    <col min="8" max="8" width="13.875" customWidth="1"/>
  </cols>
  <sheetData>
    <row r="1" ht="18.75" spans="1:11">
      <c r="A1" s="2" t="s">
        <v>581</v>
      </c>
      <c r="B1" s="2"/>
      <c r="C1" s="2"/>
      <c r="D1" s="2"/>
      <c r="E1" s="2"/>
      <c r="F1" s="2"/>
      <c r="G1" s="2"/>
      <c r="H1" s="2"/>
      <c r="I1" s="2"/>
      <c r="J1" s="12" t="s">
        <v>544</v>
      </c>
      <c r="K1" s="12" t="s">
        <v>545</v>
      </c>
    </row>
    <row r="2" spans="1:9">
      <c r="A2" s="3" t="s">
        <v>2</v>
      </c>
      <c r="B2" s="3" t="s">
        <v>557</v>
      </c>
      <c r="C2" s="3" t="s">
        <v>6</v>
      </c>
      <c r="D2" s="3" t="s">
        <v>513</v>
      </c>
      <c r="E2" s="3" t="s">
        <v>515</v>
      </c>
      <c r="F2" s="3" t="s">
        <v>517</v>
      </c>
      <c r="G2" s="3" t="s">
        <v>519</v>
      </c>
      <c r="H2" s="4" t="s">
        <v>521</v>
      </c>
      <c r="I2" s="4" t="s">
        <v>522</v>
      </c>
    </row>
    <row r="3" spans="1:9">
      <c r="A3" s="24">
        <v>42489</v>
      </c>
      <c r="B3" s="24"/>
      <c r="C3" s="25">
        <v>31800000</v>
      </c>
      <c r="D3" s="9"/>
      <c r="E3" s="9"/>
      <c r="F3" s="9"/>
      <c r="G3" s="9"/>
      <c r="H3" s="9"/>
      <c r="I3" s="8"/>
    </row>
    <row r="4" spans="1:9">
      <c r="A4" s="24"/>
      <c r="B4" s="24">
        <v>42489</v>
      </c>
      <c r="C4" s="25"/>
      <c r="D4" s="9"/>
      <c r="E4" s="25">
        <v>2862000</v>
      </c>
      <c r="F4" s="25"/>
      <c r="G4" s="25">
        <v>954000</v>
      </c>
      <c r="H4" s="25"/>
      <c r="I4" s="8"/>
    </row>
    <row r="5" spans="1:9">
      <c r="A5" s="6"/>
      <c r="B5" s="6">
        <v>42671</v>
      </c>
      <c r="C5" s="9"/>
      <c r="D5" s="9">
        <v>31800000</v>
      </c>
      <c r="E5" s="9"/>
      <c r="F5" s="9"/>
      <c r="G5" s="9"/>
      <c r="H5" s="9"/>
      <c r="I5" s="8"/>
    </row>
    <row r="6" spans="1:9">
      <c r="A6" s="24"/>
      <c r="B6" s="6"/>
      <c r="C6" s="25"/>
      <c r="D6" s="9"/>
      <c r="E6" s="25"/>
      <c r="F6" s="9"/>
      <c r="G6" s="9"/>
      <c r="H6" s="25"/>
      <c r="I6" s="8"/>
    </row>
    <row r="7" spans="1:9">
      <c r="A7" s="24"/>
      <c r="B7" s="24"/>
      <c r="C7" s="25"/>
      <c r="D7" s="9"/>
      <c r="E7" s="25"/>
      <c r="F7" s="25"/>
      <c r="G7" s="25"/>
      <c r="H7" s="25"/>
      <c r="I7" s="8"/>
    </row>
    <row r="8" spans="1:9">
      <c r="A8" s="24"/>
      <c r="B8" s="26"/>
      <c r="C8" s="25"/>
      <c r="D8" s="8"/>
      <c r="E8" s="25"/>
      <c r="F8" s="25"/>
      <c r="G8" s="25"/>
      <c r="H8" s="25"/>
      <c r="I8" s="8"/>
    </row>
    <row r="9" spans="1:9">
      <c r="A9" s="13"/>
      <c r="B9" s="13"/>
      <c r="C9" s="9"/>
      <c r="D9" s="8"/>
      <c r="E9" s="9"/>
      <c r="F9" s="9"/>
      <c r="G9" s="9"/>
      <c r="H9" s="9"/>
      <c r="I9" s="8"/>
    </row>
    <row r="10" spans="1:9">
      <c r="A10" s="13"/>
      <c r="B10" s="13"/>
      <c r="C10" s="9"/>
      <c r="D10" s="6"/>
      <c r="E10" s="9"/>
      <c r="F10" s="9"/>
      <c r="G10" s="9"/>
      <c r="H10" s="9"/>
      <c r="I10" s="8"/>
    </row>
    <row r="11" spans="1:9">
      <c r="A11" s="6"/>
      <c r="B11" s="6"/>
      <c r="C11" s="6"/>
      <c r="D11" s="6"/>
      <c r="E11" s="9"/>
      <c r="F11" s="6"/>
      <c r="G11" s="6"/>
      <c r="H11" s="6"/>
      <c r="I11" s="8"/>
    </row>
    <row r="12" spans="1:9">
      <c r="A12" s="6"/>
      <c r="B12" s="6"/>
      <c r="C12" s="6"/>
      <c r="D12" s="6"/>
      <c r="E12" s="9"/>
      <c r="F12" s="6"/>
      <c r="G12" s="6"/>
      <c r="H12" s="6"/>
      <c r="I12" s="8"/>
    </row>
    <row r="13" spans="1:9">
      <c r="A13" s="6"/>
      <c r="B13" s="6"/>
      <c r="C13" s="6"/>
      <c r="D13" s="6"/>
      <c r="E13" s="9"/>
      <c r="F13" s="6"/>
      <c r="G13" s="6"/>
      <c r="H13" s="6"/>
      <c r="I13" s="8"/>
    </row>
    <row r="14" spans="1:9">
      <c r="A14" s="6"/>
      <c r="B14" s="6"/>
      <c r="C14" s="6"/>
      <c r="D14" s="6"/>
      <c r="E14" s="9"/>
      <c r="F14" s="6"/>
      <c r="G14" s="6"/>
      <c r="H14" s="6"/>
      <c r="I14" s="8"/>
    </row>
    <row r="15" spans="1:9">
      <c r="A15" s="6"/>
      <c r="B15" s="6"/>
      <c r="C15" s="6"/>
      <c r="D15" s="6"/>
      <c r="E15" s="9"/>
      <c r="F15" s="6"/>
      <c r="G15" s="6"/>
      <c r="H15" s="6"/>
      <c r="I15" s="8"/>
    </row>
    <row r="16" spans="1:9">
      <c r="A16" s="6"/>
      <c r="B16" s="6"/>
      <c r="C16" s="6"/>
      <c r="D16" s="14"/>
      <c r="E16" s="9"/>
      <c r="F16" s="6"/>
      <c r="G16" s="6"/>
      <c r="H16" s="6"/>
      <c r="I16" s="8"/>
    </row>
    <row r="17" spans="1:9">
      <c r="A17" s="6"/>
      <c r="B17" s="6"/>
      <c r="C17" s="6"/>
      <c r="D17" s="6"/>
      <c r="E17" s="6"/>
      <c r="F17" s="6"/>
      <c r="G17" s="6"/>
      <c r="H17" s="14"/>
      <c r="I17" s="8"/>
    </row>
    <row r="18" spans="1:9">
      <c r="A18" s="6"/>
      <c r="B18" s="6"/>
      <c r="C18" s="6"/>
      <c r="D18" s="6"/>
      <c r="E18" s="6"/>
      <c r="F18" s="6"/>
      <c r="G18" s="6"/>
      <c r="H18" s="6"/>
      <c r="I18" s="8"/>
    </row>
    <row r="19" spans="1:9">
      <c r="A19" s="6"/>
      <c r="B19" s="6"/>
      <c r="C19" s="6"/>
      <c r="D19" s="6"/>
      <c r="E19" s="6"/>
      <c r="F19" s="6"/>
      <c r="G19" s="6"/>
      <c r="H19" s="6"/>
      <c r="I19" s="8"/>
    </row>
    <row r="20" spans="1:9">
      <c r="A20" t="s">
        <v>558</v>
      </c>
      <c r="C20" s="11">
        <f t="shared" ref="C20:H20" si="0">SUM(C3:C19)</f>
        <v>31800000</v>
      </c>
      <c r="D20" s="11">
        <f t="shared" si="0"/>
        <v>31800000</v>
      </c>
      <c r="E20" s="11">
        <f t="shared" si="0"/>
        <v>2862000</v>
      </c>
      <c r="F20" s="11">
        <f t="shared" si="0"/>
        <v>0</v>
      </c>
      <c r="G20" s="11">
        <f t="shared" si="0"/>
        <v>954000</v>
      </c>
      <c r="H20" s="11">
        <f t="shared" si="0"/>
        <v>0</v>
      </c>
      <c r="I20" s="11">
        <f>SUM(I3:I12)</f>
        <v>0</v>
      </c>
    </row>
  </sheetData>
  <mergeCells count="1">
    <mergeCell ref="A1:I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20"/>
  <sheetViews>
    <sheetView workbookViewId="0">
      <selection activeCell="A1" sqref="A1:K20"/>
    </sheetView>
  </sheetViews>
  <sheetFormatPr defaultColWidth="9" defaultRowHeight="13.5"/>
  <cols>
    <col min="1" max="1" width="10.5" customWidth="1"/>
    <col min="2" max="2" width="11.625" customWidth="1"/>
    <col min="3" max="4" width="17.25" customWidth="1"/>
    <col min="5" max="5" width="16.125" customWidth="1"/>
    <col min="6" max="6" width="13.875" customWidth="1"/>
    <col min="7" max="7" width="16.125" customWidth="1"/>
    <col min="8" max="8" width="17.25" customWidth="1"/>
  </cols>
  <sheetData>
    <row r="1" ht="18.75" spans="1:11">
      <c r="A1" s="2" t="s">
        <v>582</v>
      </c>
      <c r="B1" s="2"/>
      <c r="C1" s="2"/>
      <c r="D1" s="2"/>
      <c r="E1" s="2"/>
      <c r="F1" s="2"/>
      <c r="G1" s="2"/>
      <c r="H1" s="2"/>
      <c r="I1" s="2"/>
      <c r="J1" s="12" t="s">
        <v>544</v>
      </c>
      <c r="K1" s="12" t="s">
        <v>545</v>
      </c>
    </row>
    <row r="2" spans="1:9">
      <c r="A2" s="3" t="s">
        <v>2</v>
      </c>
      <c r="B2" s="3" t="s">
        <v>557</v>
      </c>
      <c r="C2" s="3" t="s">
        <v>6</v>
      </c>
      <c r="D2" s="3" t="s">
        <v>513</v>
      </c>
      <c r="E2" s="3" t="s">
        <v>515</v>
      </c>
      <c r="F2" s="3" t="s">
        <v>517</v>
      </c>
      <c r="G2" s="3" t="s">
        <v>519</v>
      </c>
      <c r="H2" s="4" t="s">
        <v>521</v>
      </c>
      <c r="I2" s="4" t="s">
        <v>522</v>
      </c>
    </row>
    <row r="3" spans="1:9">
      <c r="A3" s="24">
        <v>42417</v>
      </c>
      <c r="B3" s="24"/>
      <c r="C3" s="25">
        <v>20000000</v>
      </c>
      <c r="D3" s="9"/>
      <c r="E3" s="9"/>
      <c r="F3" s="9"/>
      <c r="G3" s="9"/>
      <c r="H3" s="9"/>
      <c r="I3" s="8"/>
    </row>
    <row r="4" spans="1:9">
      <c r="A4" s="24"/>
      <c r="B4" s="24">
        <v>42417</v>
      </c>
      <c r="C4" s="25"/>
      <c r="D4" s="9"/>
      <c r="E4" s="25"/>
      <c r="F4" s="25">
        <v>250000</v>
      </c>
      <c r="G4" s="25">
        <v>200000</v>
      </c>
      <c r="H4" s="25">
        <v>2000000</v>
      </c>
      <c r="I4" s="8"/>
    </row>
    <row r="5" spans="1:9">
      <c r="A5" s="6">
        <v>42439</v>
      </c>
      <c r="B5" s="6"/>
      <c r="C5" s="9">
        <v>8500000</v>
      </c>
      <c r="D5" s="9"/>
      <c r="E5" s="9"/>
      <c r="F5" s="9"/>
      <c r="G5" s="9"/>
      <c r="H5" s="9"/>
      <c r="I5" s="8"/>
    </row>
    <row r="6" spans="1:9">
      <c r="A6" s="24"/>
      <c r="B6" s="6">
        <v>42439</v>
      </c>
      <c r="C6" s="25"/>
      <c r="D6" s="9"/>
      <c r="E6" s="25"/>
      <c r="F6" s="9">
        <v>106250</v>
      </c>
      <c r="G6" s="9">
        <v>85000</v>
      </c>
      <c r="H6" s="25">
        <v>850000</v>
      </c>
      <c r="I6" s="8"/>
    </row>
    <row r="7" spans="1:9">
      <c r="A7" s="24"/>
      <c r="B7" s="24">
        <v>42506</v>
      </c>
      <c r="C7" s="25"/>
      <c r="D7" s="9">
        <v>20000000</v>
      </c>
      <c r="E7" s="25">
        <v>400000</v>
      </c>
      <c r="F7" s="25"/>
      <c r="G7" s="25"/>
      <c r="H7" s="25"/>
      <c r="I7" s="8"/>
    </row>
    <row r="8" spans="1:9">
      <c r="A8" s="24"/>
      <c r="B8" s="26">
        <v>42529</v>
      </c>
      <c r="C8" s="25"/>
      <c r="D8" s="8">
        <v>8500000</v>
      </c>
      <c r="E8" s="25">
        <v>170000</v>
      </c>
      <c r="F8" s="25"/>
      <c r="G8" s="25"/>
      <c r="H8" s="25"/>
      <c r="I8" s="8"/>
    </row>
    <row r="9" spans="1:9">
      <c r="A9" s="13"/>
      <c r="B9" s="13"/>
      <c r="C9" s="9"/>
      <c r="D9" s="8"/>
      <c r="E9" s="9"/>
      <c r="F9" s="9"/>
      <c r="G9" s="9"/>
      <c r="H9" s="9"/>
      <c r="I9" s="8"/>
    </row>
    <row r="10" spans="1:9">
      <c r="A10" s="13"/>
      <c r="B10" s="13"/>
      <c r="C10" s="9"/>
      <c r="D10" s="6"/>
      <c r="E10" s="9"/>
      <c r="F10" s="9"/>
      <c r="G10" s="9"/>
      <c r="H10" s="9"/>
      <c r="I10" s="8"/>
    </row>
    <row r="11" spans="1:9">
      <c r="A11" s="6"/>
      <c r="B11" s="6"/>
      <c r="C11" s="6"/>
      <c r="D11" s="6"/>
      <c r="E11" s="9"/>
      <c r="F11" s="6"/>
      <c r="G11" s="6"/>
      <c r="H11" s="6"/>
      <c r="I11" s="8"/>
    </row>
    <row r="12" spans="1:9">
      <c r="A12" s="6"/>
      <c r="B12" s="6"/>
      <c r="C12" s="6"/>
      <c r="D12" s="6"/>
      <c r="E12" s="9"/>
      <c r="F12" s="6"/>
      <c r="G12" s="6"/>
      <c r="H12" s="6"/>
      <c r="I12" s="8"/>
    </row>
    <row r="13" spans="1:9">
      <c r="A13" s="6"/>
      <c r="B13" s="6"/>
      <c r="C13" s="6"/>
      <c r="D13" s="6"/>
      <c r="E13" s="9"/>
      <c r="F13" s="6"/>
      <c r="G13" s="6"/>
      <c r="H13" s="6"/>
      <c r="I13" s="8"/>
    </row>
    <row r="14" spans="1:9">
      <c r="A14" s="6"/>
      <c r="B14" s="6"/>
      <c r="C14" s="6"/>
      <c r="D14" s="6"/>
      <c r="E14" s="9"/>
      <c r="F14" s="6"/>
      <c r="G14" s="6"/>
      <c r="H14" s="6"/>
      <c r="I14" s="8"/>
    </row>
    <row r="15" spans="1:9">
      <c r="A15" s="6"/>
      <c r="B15" s="6"/>
      <c r="C15" s="6"/>
      <c r="D15" s="6"/>
      <c r="E15" s="9"/>
      <c r="F15" s="6"/>
      <c r="G15" s="6"/>
      <c r="H15" s="6"/>
      <c r="I15" s="8"/>
    </row>
    <row r="16" spans="1:9">
      <c r="A16" s="6"/>
      <c r="B16" s="6"/>
      <c r="C16" s="6"/>
      <c r="D16" s="14"/>
      <c r="E16" s="9"/>
      <c r="F16" s="6"/>
      <c r="G16" s="6"/>
      <c r="H16" s="6"/>
      <c r="I16" s="8"/>
    </row>
    <row r="17" spans="1:9">
      <c r="A17" s="6"/>
      <c r="B17" s="6"/>
      <c r="C17" s="6"/>
      <c r="D17" s="6"/>
      <c r="E17" s="6"/>
      <c r="F17" s="6"/>
      <c r="G17" s="6"/>
      <c r="H17" s="14"/>
      <c r="I17" s="8"/>
    </row>
    <row r="18" spans="1:9">
      <c r="A18" s="6"/>
      <c r="B18" s="6"/>
      <c r="C18" s="6"/>
      <c r="D18" s="6"/>
      <c r="E18" s="6"/>
      <c r="F18" s="6"/>
      <c r="G18" s="6"/>
      <c r="H18" s="6"/>
      <c r="I18" s="8"/>
    </row>
    <row r="19" spans="1:9">
      <c r="A19" s="6"/>
      <c r="B19" s="6"/>
      <c r="C19" s="6"/>
      <c r="D19" s="6"/>
      <c r="E19" s="6"/>
      <c r="F19" s="6"/>
      <c r="G19" s="6"/>
      <c r="H19" s="6"/>
      <c r="I19" s="8"/>
    </row>
    <row r="20" spans="1:9">
      <c r="A20" t="s">
        <v>558</v>
      </c>
      <c r="C20" s="11">
        <f t="shared" ref="C20:H20" si="0">SUM(C3:C19)</f>
        <v>28500000</v>
      </c>
      <c r="D20" s="11">
        <f t="shared" si="0"/>
        <v>28500000</v>
      </c>
      <c r="E20" s="11">
        <f t="shared" si="0"/>
        <v>570000</v>
      </c>
      <c r="F20" s="11">
        <f t="shared" si="0"/>
        <v>356250</v>
      </c>
      <c r="G20" s="11">
        <f t="shared" si="0"/>
        <v>285000</v>
      </c>
      <c r="H20" s="11">
        <f t="shared" si="0"/>
        <v>2850000</v>
      </c>
      <c r="I20" s="11">
        <f>SUM(I3:I12)</f>
        <v>0</v>
      </c>
    </row>
  </sheetData>
  <mergeCells count="1">
    <mergeCell ref="A1:I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20"/>
  <sheetViews>
    <sheetView workbookViewId="0">
      <selection activeCell="K1" sqref="K1"/>
    </sheetView>
  </sheetViews>
  <sheetFormatPr defaultColWidth="9" defaultRowHeight="13.5"/>
  <cols>
    <col min="1" max="2" width="10.5" customWidth="1"/>
    <col min="3" max="4" width="17.25" customWidth="1"/>
    <col min="5" max="7" width="13.875" customWidth="1"/>
    <col min="8" max="8" width="16.125" customWidth="1"/>
  </cols>
  <sheetData>
    <row r="1" ht="18.75" spans="1:11">
      <c r="A1" s="2" t="s">
        <v>583</v>
      </c>
      <c r="B1" s="2"/>
      <c r="C1" s="2"/>
      <c r="D1" s="2"/>
      <c r="E1" s="2"/>
      <c r="F1" s="2"/>
      <c r="G1" s="2"/>
      <c r="H1" s="2"/>
      <c r="I1" s="2"/>
      <c r="J1" s="12" t="s">
        <v>544</v>
      </c>
      <c r="K1" s="12" t="s">
        <v>545</v>
      </c>
    </row>
    <row r="2" spans="1:9">
      <c r="A2" s="3" t="s">
        <v>2</v>
      </c>
      <c r="B2" s="3" t="s">
        <v>557</v>
      </c>
      <c r="C2" s="3" t="s">
        <v>6</v>
      </c>
      <c r="D2" s="3" t="s">
        <v>513</v>
      </c>
      <c r="E2" s="3" t="s">
        <v>515</v>
      </c>
      <c r="F2" s="3" t="s">
        <v>517</v>
      </c>
      <c r="G2" s="3" t="s">
        <v>519</v>
      </c>
      <c r="H2" s="4" t="s">
        <v>521</v>
      </c>
      <c r="I2" s="4" t="s">
        <v>522</v>
      </c>
    </row>
    <row r="3" spans="1:9">
      <c r="A3" s="6">
        <v>42506</v>
      </c>
      <c r="B3" s="6"/>
      <c r="C3" s="9">
        <v>20000000</v>
      </c>
      <c r="D3" s="9"/>
      <c r="E3" s="9"/>
      <c r="F3" s="9"/>
      <c r="G3" s="9"/>
      <c r="H3" s="9"/>
      <c r="I3" s="8"/>
    </row>
    <row r="4" spans="1:9">
      <c r="A4" s="6"/>
      <c r="B4" s="6">
        <v>42506</v>
      </c>
      <c r="C4" s="9"/>
      <c r="D4" s="9"/>
      <c r="E4" s="9"/>
      <c r="F4" s="9">
        <v>400000</v>
      </c>
      <c r="G4" s="9"/>
      <c r="H4" s="9">
        <v>2000000</v>
      </c>
      <c r="I4" s="8"/>
    </row>
    <row r="5" spans="1:9">
      <c r="A5" s="6"/>
      <c r="B5" s="6">
        <v>42597</v>
      </c>
      <c r="C5" s="9"/>
      <c r="D5" s="9">
        <v>20000000</v>
      </c>
      <c r="E5" s="9">
        <v>500000</v>
      </c>
      <c r="F5" s="9"/>
      <c r="G5" s="9"/>
      <c r="H5" s="9"/>
      <c r="I5" s="8"/>
    </row>
    <row r="6" spans="1:9">
      <c r="A6" s="24"/>
      <c r="B6" s="6"/>
      <c r="C6" s="25"/>
      <c r="D6" s="9"/>
      <c r="E6" s="25"/>
      <c r="F6" s="9"/>
      <c r="G6" s="9"/>
      <c r="H6" s="25"/>
      <c r="I6" s="8"/>
    </row>
    <row r="7" spans="1:9">
      <c r="A7" s="24"/>
      <c r="B7" s="24"/>
      <c r="C7" s="25"/>
      <c r="D7" s="9"/>
      <c r="E7" s="25"/>
      <c r="F7" s="25"/>
      <c r="G7" s="25"/>
      <c r="H7" s="25"/>
      <c r="I7" s="8"/>
    </row>
    <row r="8" spans="1:9">
      <c r="A8" s="24"/>
      <c r="B8" s="26"/>
      <c r="C8" s="25"/>
      <c r="D8" s="8"/>
      <c r="E8" s="25"/>
      <c r="F8" s="25"/>
      <c r="G8" s="25"/>
      <c r="H8" s="25"/>
      <c r="I8" s="8"/>
    </row>
    <row r="9" spans="1:9">
      <c r="A9" s="13"/>
      <c r="B9" s="13"/>
      <c r="C9" s="9"/>
      <c r="D9" s="8"/>
      <c r="E9" s="9"/>
      <c r="F9" s="9"/>
      <c r="G9" s="9"/>
      <c r="H9" s="9"/>
      <c r="I9" s="8"/>
    </row>
    <row r="10" spans="1:9">
      <c r="A10" s="13"/>
      <c r="B10" s="13"/>
      <c r="C10" s="9"/>
      <c r="D10" s="6"/>
      <c r="E10" s="9"/>
      <c r="F10" s="9"/>
      <c r="G10" s="9"/>
      <c r="H10" s="9"/>
      <c r="I10" s="8"/>
    </row>
    <row r="11" spans="1:9">
      <c r="A11" s="6"/>
      <c r="B11" s="6"/>
      <c r="C11" s="6"/>
      <c r="D11" s="6"/>
      <c r="E11" s="9"/>
      <c r="F11" s="6"/>
      <c r="G11" s="6"/>
      <c r="H11" s="6"/>
      <c r="I11" s="8"/>
    </row>
    <row r="12" spans="1:9">
      <c r="A12" s="6"/>
      <c r="B12" s="6"/>
      <c r="C12" s="6"/>
      <c r="D12" s="6"/>
      <c r="E12" s="9"/>
      <c r="F12" s="6"/>
      <c r="G12" s="6"/>
      <c r="H12" s="6"/>
      <c r="I12" s="8"/>
    </row>
    <row r="13" spans="1:9">
      <c r="A13" s="6"/>
      <c r="B13" s="6"/>
      <c r="C13" s="6"/>
      <c r="D13" s="6"/>
      <c r="E13" s="9"/>
      <c r="F13" s="6"/>
      <c r="G13" s="6"/>
      <c r="H13" s="6"/>
      <c r="I13" s="8"/>
    </row>
    <row r="14" spans="1:9">
      <c r="A14" s="6"/>
      <c r="B14" s="6"/>
      <c r="C14" s="6"/>
      <c r="D14" s="6"/>
      <c r="E14" s="9"/>
      <c r="F14" s="6"/>
      <c r="G14" s="6"/>
      <c r="H14" s="6"/>
      <c r="I14" s="8"/>
    </row>
    <row r="15" spans="1:9">
      <c r="A15" s="6"/>
      <c r="B15" s="6"/>
      <c r="C15" s="6"/>
      <c r="D15" s="6"/>
      <c r="E15" s="9"/>
      <c r="F15" s="6"/>
      <c r="G15" s="6"/>
      <c r="H15" s="6"/>
      <c r="I15" s="8"/>
    </row>
    <row r="16" spans="1:9">
      <c r="A16" s="6"/>
      <c r="B16" s="6"/>
      <c r="C16" s="6"/>
      <c r="D16" s="14"/>
      <c r="E16" s="9"/>
      <c r="F16" s="6"/>
      <c r="G16" s="6"/>
      <c r="H16" s="6"/>
      <c r="I16" s="8"/>
    </row>
    <row r="17" spans="1:9">
      <c r="A17" s="6"/>
      <c r="B17" s="6"/>
      <c r="C17" s="6"/>
      <c r="D17" s="6"/>
      <c r="E17" s="6"/>
      <c r="F17" s="6"/>
      <c r="G17" s="6"/>
      <c r="H17" s="14"/>
      <c r="I17" s="8"/>
    </row>
    <row r="18" spans="1:9">
      <c r="A18" s="6"/>
      <c r="B18" s="6"/>
      <c r="C18" s="6"/>
      <c r="D18" s="6"/>
      <c r="E18" s="6"/>
      <c r="F18" s="6"/>
      <c r="G18" s="6"/>
      <c r="H18" s="6"/>
      <c r="I18" s="8"/>
    </row>
    <row r="19" spans="1:9">
      <c r="A19" s="6"/>
      <c r="B19" s="6"/>
      <c r="C19" s="6"/>
      <c r="D19" s="6"/>
      <c r="E19" s="6"/>
      <c r="F19" s="6"/>
      <c r="G19" s="6"/>
      <c r="H19" s="6"/>
      <c r="I19" s="8"/>
    </row>
    <row r="20" spans="1:9">
      <c r="A20" t="s">
        <v>558</v>
      </c>
      <c r="C20" s="11">
        <f t="shared" ref="C20:H20" si="0">SUM(C3:C19)</f>
        <v>20000000</v>
      </c>
      <c r="D20" s="11">
        <f t="shared" si="0"/>
        <v>20000000</v>
      </c>
      <c r="E20" s="11">
        <f t="shared" si="0"/>
        <v>500000</v>
      </c>
      <c r="F20" s="11">
        <f t="shared" si="0"/>
        <v>400000</v>
      </c>
      <c r="G20" s="11">
        <f t="shared" si="0"/>
        <v>0</v>
      </c>
      <c r="H20" s="11">
        <f t="shared" si="0"/>
        <v>2000000</v>
      </c>
      <c r="I20" s="11">
        <f>SUM(I3:I12)</f>
        <v>0</v>
      </c>
    </row>
  </sheetData>
  <mergeCells count="1">
    <mergeCell ref="A1:I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12"/>
  <sheetViews>
    <sheetView workbookViewId="0">
      <selection activeCell="D24" sqref="D24"/>
    </sheetView>
  </sheetViews>
  <sheetFormatPr defaultColWidth="9" defaultRowHeight="13.5"/>
  <cols>
    <col min="1" max="2" width="15.75" customWidth="1"/>
    <col min="3" max="3" width="16.875" customWidth="1"/>
    <col min="4" max="4" width="19.375" customWidth="1"/>
    <col min="5" max="7" width="15.75" customWidth="1"/>
    <col min="8" max="8" width="17.25" customWidth="1"/>
    <col min="9" max="9" width="15.75" customWidth="1"/>
  </cols>
  <sheetData>
    <row r="1" ht="18.75" spans="1:11">
      <c r="A1" s="2" t="s">
        <v>584</v>
      </c>
      <c r="B1" s="2"/>
      <c r="C1" s="2"/>
      <c r="D1" s="2"/>
      <c r="E1" s="2"/>
      <c r="F1" s="2"/>
      <c r="G1" s="2"/>
      <c r="H1" s="2"/>
      <c r="I1" s="2"/>
      <c r="J1" s="12" t="s">
        <v>544</v>
      </c>
      <c r="K1" s="12" t="s">
        <v>545</v>
      </c>
    </row>
    <row r="2" spans="1:9">
      <c r="A2" s="3" t="s">
        <v>2</v>
      </c>
      <c r="B2" s="3" t="s">
        <v>557</v>
      </c>
      <c r="C2" s="3" t="s">
        <v>6</v>
      </c>
      <c r="D2" s="3" t="s">
        <v>513</v>
      </c>
      <c r="E2" s="3" t="s">
        <v>515</v>
      </c>
      <c r="F2" s="3" t="s">
        <v>517</v>
      </c>
      <c r="G2" s="3" t="s">
        <v>519</v>
      </c>
      <c r="H2" s="4" t="s">
        <v>521</v>
      </c>
      <c r="I2" s="4" t="s">
        <v>522</v>
      </c>
    </row>
    <row r="3" spans="1:9">
      <c r="A3" s="6">
        <v>42731</v>
      </c>
      <c r="B3" s="6">
        <v>42731</v>
      </c>
      <c r="C3" s="9">
        <v>50000000</v>
      </c>
      <c r="D3" s="9"/>
      <c r="E3" s="9"/>
      <c r="F3" s="9">
        <v>1250000</v>
      </c>
      <c r="G3" s="9"/>
      <c r="H3" s="8"/>
      <c r="I3" s="8"/>
    </row>
    <row r="4" spans="1:9">
      <c r="A4" s="6"/>
      <c r="B4" s="6">
        <v>42745</v>
      </c>
      <c r="C4" s="9"/>
      <c r="D4" s="9"/>
      <c r="E4" s="9">
        <v>1500000</v>
      </c>
      <c r="F4" s="9"/>
      <c r="G4" s="8"/>
      <c r="H4" s="8"/>
      <c r="I4" s="8"/>
    </row>
    <row r="5" spans="1:9">
      <c r="A5" s="6"/>
      <c r="B5" s="6">
        <v>42835</v>
      </c>
      <c r="C5" s="9"/>
      <c r="D5" s="9"/>
      <c r="E5" s="9">
        <v>1500000</v>
      </c>
      <c r="F5" s="9">
        <v>1250000</v>
      </c>
      <c r="G5" s="8"/>
      <c r="H5" s="8"/>
      <c r="I5" s="8"/>
    </row>
    <row r="6" spans="1:9">
      <c r="A6" s="6"/>
      <c r="B6" s="6">
        <v>42912</v>
      </c>
      <c r="C6" s="9"/>
      <c r="D6" s="9">
        <v>50000000</v>
      </c>
      <c r="E6" s="9"/>
      <c r="F6" s="9"/>
      <c r="G6" s="8"/>
      <c r="H6" s="8"/>
      <c r="I6" s="8"/>
    </row>
    <row r="7" spans="1:9">
      <c r="A7" s="6"/>
      <c r="B7" s="6"/>
      <c r="C7" s="8"/>
      <c r="D7" s="8"/>
      <c r="E7" s="9"/>
      <c r="F7" s="9"/>
      <c r="G7" s="8"/>
      <c r="H7" s="8"/>
      <c r="I7" s="8"/>
    </row>
    <row r="8" spans="1:9">
      <c r="A8" s="6"/>
      <c r="B8" s="6"/>
      <c r="C8" s="8"/>
      <c r="D8" s="8"/>
      <c r="E8" s="9"/>
      <c r="F8" s="8"/>
      <c r="G8" s="8"/>
      <c r="H8" s="8"/>
      <c r="I8" s="8"/>
    </row>
    <row r="9" spans="1:9">
      <c r="A9" s="6"/>
      <c r="B9" s="6"/>
      <c r="C9" s="6"/>
      <c r="D9" s="6"/>
      <c r="E9" s="9"/>
      <c r="F9" s="6"/>
      <c r="G9" s="6"/>
      <c r="H9" s="6"/>
      <c r="I9" s="8"/>
    </row>
    <row r="10" spans="1:9">
      <c r="A10" s="6"/>
      <c r="B10" s="6"/>
      <c r="C10" s="6"/>
      <c r="D10" s="6"/>
      <c r="E10" s="9"/>
      <c r="F10" s="6"/>
      <c r="G10" s="6"/>
      <c r="H10" s="6"/>
      <c r="I10" s="8"/>
    </row>
    <row r="11" spans="1:9">
      <c r="A11" s="6"/>
      <c r="B11" s="6"/>
      <c r="C11" s="6"/>
      <c r="D11" s="6"/>
      <c r="E11" s="6"/>
      <c r="F11" s="6"/>
      <c r="G11" s="6"/>
      <c r="H11" s="6"/>
      <c r="I11" s="8"/>
    </row>
    <row r="12" spans="1:9">
      <c r="A12" t="s">
        <v>558</v>
      </c>
      <c r="C12" s="11">
        <f>SUM(C3:C11)</f>
        <v>50000000</v>
      </c>
      <c r="D12" s="11">
        <f>SUM(D3:D11)</f>
        <v>50000000</v>
      </c>
      <c r="E12" s="11">
        <f>SUM(E4:E11)</f>
        <v>3000000</v>
      </c>
      <c r="F12" s="11">
        <f>SUM(F3:F11)</f>
        <v>2500000</v>
      </c>
      <c r="G12" s="11">
        <f>SUM(G3:G11)</f>
        <v>0</v>
      </c>
      <c r="H12" s="11">
        <f>SUM(H3:H11)</f>
        <v>0</v>
      </c>
      <c r="I12" s="11">
        <f>SUM(I3:I10)</f>
        <v>0</v>
      </c>
    </row>
  </sheetData>
  <mergeCells count="1">
    <mergeCell ref="A1:I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20"/>
  <sheetViews>
    <sheetView workbookViewId="0">
      <selection activeCell="A1" sqref="$A1:$XFD1048576"/>
    </sheetView>
  </sheetViews>
  <sheetFormatPr defaultColWidth="9" defaultRowHeight="13.5"/>
  <cols>
    <col min="1" max="2" width="15.75" customWidth="1"/>
    <col min="3" max="3" width="16.875" customWidth="1"/>
    <col min="4" max="4" width="19.375" customWidth="1"/>
    <col min="5" max="7" width="15.75" customWidth="1"/>
    <col min="8" max="8" width="17.25" customWidth="1"/>
    <col min="9" max="9" width="15.75" customWidth="1"/>
  </cols>
  <sheetData>
    <row r="1" ht="18.75" spans="1:11">
      <c r="A1" s="2" t="s">
        <v>585</v>
      </c>
      <c r="B1" s="2"/>
      <c r="C1" s="2"/>
      <c r="D1" s="2"/>
      <c r="E1" s="2"/>
      <c r="F1" s="2"/>
      <c r="G1" s="2"/>
      <c r="H1" s="2"/>
      <c r="I1" s="2"/>
      <c r="J1" s="12" t="s">
        <v>544</v>
      </c>
      <c r="K1" s="12" t="s">
        <v>545</v>
      </c>
    </row>
    <row r="2" spans="1:9">
      <c r="A2" s="3" t="s">
        <v>2</v>
      </c>
      <c r="B2" s="3" t="s">
        <v>557</v>
      </c>
      <c r="C2" s="3" t="s">
        <v>6</v>
      </c>
      <c r="D2" s="3" t="s">
        <v>513</v>
      </c>
      <c r="E2" s="3" t="s">
        <v>515</v>
      </c>
      <c r="F2" s="3" t="s">
        <v>517</v>
      </c>
      <c r="G2" s="3" t="s">
        <v>519</v>
      </c>
      <c r="H2" s="4" t="s">
        <v>521</v>
      </c>
      <c r="I2" s="4" t="s">
        <v>522</v>
      </c>
    </row>
    <row r="3" spans="1:9">
      <c r="A3" s="13">
        <v>42571</v>
      </c>
      <c r="B3" s="13">
        <v>42571</v>
      </c>
      <c r="C3" s="9">
        <v>60000000</v>
      </c>
      <c r="D3" s="9"/>
      <c r="E3" s="9"/>
      <c r="F3" s="9"/>
      <c r="G3" s="9"/>
      <c r="H3" s="8">
        <v>6000000</v>
      </c>
      <c r="I3" s="8"/>
    </row>
    <row r="4" spans="1:9">
      <c r="A4" s="13"/>
      <c r="B4" s="13">
        <v>42587</v>
      </c>
      <c r="C4" s="9"/>
      <c r="D4" s="9"/>
      <c r="E4" s="9"/>
      <c r="F4" s="9">
        <v>1800000</v>
      </c>
      <c r="G4" s="8">
        <v>2400000</v>
      </c>
      <c r="H4" s="8"/>
      <c r="I4" s="8"/>
    </row>
    <row r="5" spans="1:9">
      <c r="A5" s="13"/>
      <c r="B5" s="23">
        <v>42604</v>
      </c>
      <c r="C5" s="9"/>
      <c r="D5" s="9"/>
      <c r="E5" s="9">
        <v>300000</v>
      </c>
      <c r="F5" s="9"/>
      <c r="G5" s="8"/>
      <c r="H5" s="8"/>
      <c r="I5" s="8"/>
    </row>
    <row r="6" spans="1:9">
      <c r="A6" s="13"/>
      <c r="B6" s="13">
        <v>42632</v>
      </c>
      <c r="C6" s="9"/>
      <c r="D6" s="9"/>
      <c r="E6" s="9">
        <v>300000</v>
      </c>
      <c r="F6" s="9"/>
      <c r="G6" s="8"/>
      <c r="H6" s="8"/>
      <c r="I6" s="8"/>
    </row>
    <row r="7" spans="1:9">
      <c r="A7" s="13"/>
      <c r="B7" s="13">
        <v>42663</v>
      </c>
      <c r="C7" s="9"/>
      <c r="D7" s="9"/>
      <c r="E7" s="9">
        <v>300000</v>
      </c>
      <c r="F7" s="9"/>
      <c r="G7" s="8"/>
      <c r="H7" s="8"/>
      <c r="I7" s="8"/>
    </row>
    <row r="8" spans="1:9">
      <c r="A8" s="6"/>
      <c r="B8" s="6">
        <v>42692</v>
      </c>
      <c r="C8" s="8"/>
      <c r="D8" s="8"/>
      <c r="E8" s="9">
        <v>300000</v>
      </c>
      <c r="F8" s="9"/>
      <c r="G8" s="8"/>
      <c r="H8" s="8"/>
      <c r="I8" s="8"/>
    </row>
    <row r="9" spans="1:9">
      <c r="A9" s="6"/>
      <c r="B9" s="6">
        <v>42724</v>
      </c>
      <c r="C9" s="8"/>
      <c r="D9" s="8"/>
      <c r="E9" s="9">
        <v>300000</v>
      </c>
      <c r="F9" s="8"/>
      <c r="G9" s="8"/>
      <c r="H9" s="8"/>
      <c r="I9" s="8"/>
    </row>
    <row r="10" spans="1:9">
      <c r="A10" s="6"/>
      <c r="B10" s="6">
        <v>42755</v>
      </c>
      <c r="C10" s="6"/>
      <c r="D10" s="6"/>
      <c r="E10" s="9">
        <v>300000</v>
      </c>
      <c r="F10" s="6"/>
      <c r="G10" s="6"/>
      <c r="H10" s="6"/>
      <c r="I10" s="8"/>
    </row>
    <row r="11" spans="1:9">
      <c r="A11" s="6"/>
      <c r="B11" s="6">
        <v>42786</v>
      </c>
      <c r="C11" s="6"/>
      <c r="D11" s="6"/>
      <c r="E11" s="9">
        <v>300000</v>
      </c>
      <c r="F11" s="6"/>
      <c r="G11" s="6"/>
      <c r="H11" s="6"/>
      <c r="I11" s="8"/>
    </row>
    <row r="12" spans="1:9">
      <c r="A12" s="6"/>
      <c r="B12" s="6">
        <v>42814</v>
      </c>
      <c r="C12" s="6"/>
      <c r="D12" s="6"/>
      <c r="E12" s="9">
        <v>300000</v>
      </c>
      <c r="F12" s="6"/>
      <c r="G12" s="6"/>
      <c r="H12" s="6"/>
      <c r="I12" s="8"/>
    </row>
    <row r="13" spans="1:9">
      <c r="A13" s="6"/>
      <c r="B13" s="6">
        <v>42845</v>
      </c>
      <c r="C13" s="6"/>
      <c r="D13" s="6"/>
      <c r="E13" s="9">
        <v>300000</v>
      </c>
      <c r="F13" s="6"/>
      <c r="G13" s="6"/>
      <c r="H13" s="6"/>
      <c r="I13" s="8"/>
    </row>
    <row r="14" spans="1:9">
      <c r="A14" s="6"/>
      <c r="B14" s="6">
        <v>42874</v>
      </c>
      <c r="C14" s="6"/>
      <c r="D14" s="6"/>
      <c r="E14" s="9">
        <v>300000</v>
      </c>
      <c r="F14" s="6"/>
      <c r="G14" s="6"/>
      <c r="H14" s="6"/>
      <c r="I14" s="8"/>
    </row>
    <row r="15" spans="1:9">
      <c r="A15" s="6"/>
      <c r="B15" s="6">
        <v>42906</v>
      </c>
      <c r="C15" s="6"/>
      <c r="D15" s="6"/>
      <c r="E15" s="9">
        <v>300000</v>
      </c>
      <c r="F15" s="6"/>
      <c r="G15" s="6"/>
      <c r="H15" s="6"/>
      <c r="I15" s="8"/>
    </row>
    <row r="16" spans="1:9">
      <c r="A16" s="6"/>
      <c r="B16" s="6">
        <v>42935</v>
      </c>
      <c r="C16" s="6"/>
      <c r="D16" s="14">
        <v>60000000</v>
      </c>
      <c r="E16" s="9">
        <v>300000</v>
      </c>
      <c r="F16" s="6"/>
      <c r="G16" s="6"/>
      <c r="H16" s="6"/>
      <c r="I16" s="8"/>
    </row>
    <row r="17" spans="1:9">
      <c r="A17" s="6"/>
      <c r="B17" s="6">
        <v>42936</v>
      </c>
      <c r="C17" s="6"/>
      <c r="D17" s="6"/>
      <c r="E17" s="6"/>
      <c r="F17" s="6"/>
      <c r="G17" s="6"/>
      <c r="H17" s="14">
        <v>-6000000</v>
      </c>
      <c r="I17" s="8"/>
    </row>
    <row r="18" spans="1:9">
      <c r="A18" s="6"/>
      <c r="B18" s="6"/>
      <c r="C18" s="6"/>
      <c r="D18" s="6"/>
      <c r="E18" s="6"/>
      <c r="F18" s="6"/>
      <c r="G18" s="6"/>
      <c r="H18" s="6"/>
      <c r="I18" s="8"/>
    </row>
    <row r="19" spans="1:9">
      <c r="A19" s="6"/>
      <c r="B19" s="6"/>
      <c r="C19" s="6"/>
      <c r="D19" s="6"/>
      <c r="E19" s="6"/>
      <c r="F19" s="6"/>
      <c r="G19" s="6"/>
      <c r="H19" s="6"/>
      <c r="I19" s="8"/>
    </row>
    <row r="20" spans="1:9">
      <c r="A20" t="s">
        <v>558</v>
      </c>
      <c r="C20" s="11">
        <f t="shared" ref="C20:H20" si="0">SUM(C3:C19)</f>
        <v>60000000</v>
      </c>
      <c r="D20" s="11">
        <f t="shared" si="0"/>
        <v>60000000</v>
      </c>
      <c r="E20" s="11">
        <f t="shared" si="0"/>
        <v>3600000</v>
      </c>
      <c r="F20" s="11">
        <f t="shared" si="0"/>
        <v>1800000</v>
      </c>
      <c r="G20" s="11">
        <f t="shared" si="0"/>
        <v>2400000</v>
      </c>
      <c r="H20" s="11">
        <f t="shared" si="0"/>
        <v>0</v>
      </c>
      <c r="I20" s="11">
        <f>SUM(I3:I12)</f>
        <v>0</v>
      </c>
    </row>
  </sheetData>
  <mergeCells count="1">
    <mergeCell ref="A1:I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13"/>
  <sheetViews>
    <sheetView topLeftCell="E1" workbookViewId="0">
      <selection activeCell="E1" sqref="$A1:$XFD1048576"/>
    </sheetView>
  </sheetViews>
  <sheetFormatPr defaultColWidth="9" defaultRowHeight="13.5"/>
  <cols>
    <col min="1" max="2" width="15.75" customWidth="1"/>
    <col min="3" max="4" width="16.875" customWidth="1"/>
    <col min="5" max="9" width="15.75" customWidth="1"/>
  </cols>
  <sheetData>
    <row r="1" ht="18.75" spans="1:11">
      <c r="A1" s="2" t="s">
        <v>586</v>
      </c>
      <c r="B1" s="2"/>
      <c r="C1" s="2"/>
      <c r="D1" s="2"/>
      <c r="E1" s="2"/>
      <c r="F1" s="2"/>
      <c r="G1" s="2"/>
      <c r="H1" s="2"/>
      <c r="I1" s="2"/>
      <c r="J1" s="12" t="s">
        <v>544</v>
      </c>
      <c r="K1" s="12" t="s">
        <v>545</v>
      </c>
    </row>
    <row r="2" spans="1:9">
      <c r="A2" s="3" t="s">
        <v>2</v>
      </c>
      <c r="B2" s="3" t="s">
        <v>557</v>
      </c>
      <c r="C2" s="3" t="s">
        <v>6</v>
      </c>
      <c r="D2" s="3" t="s">
        <v>513</v>
      </c>
      <c r="E2" s="3" t="s">
        <v>515</v>
      </c>
      <c r="F2" s="3" t="s">
        <v>517</v>
      </c>
      <c r="G2" s="3" t="s">
        <v>519</v>
      </c>
      <c r="H2" s="4" t="s">
        <v>521</v>
      </c>
      <c r="I2" s="4" t="s">
        <v>522</v>
      </c>
    </row>
    <row r="3" spans="1:9">
      <c r="A3" s="13">
        <v>42732</v>
      </c>
      <c r="B3" s="13">
        <v>42733</v>
      </c>
      <c r="C3" s="9">
        <v>100000000</v>
      </c>
      <c r="D3" s="9"/>
      <c r="E3" s="9">
        <v>700000</v>
      </c>
      <c r="F3" s="9"/>
      <c r="G3" s="9"/>
      <c r="H3" s="8"/>
      <c r="I3" s="8"/>
    </row>
    <row r="4" spans="1:9">
      <c r="A4" s="13"/>
      <c r="B4" s="13">
        <v>42738</v>
      </c>
      <c r="C4" s="9"/>
      <c r="D4" s="9">
        <v>100000000</v>
      </c>
      <c r="E4" s="9"/>
      <c r="F4" s="9"/>
      <c r="G4" s="8"/>
      <c r="H4" s="8"/>
      <c r="I4" s="8"/>
    </row>
    <row r="5" spans="1:9">
      <c r="A5" s="13"/>
      <c r="B5" s="23"/>
      <c r="C5" s="9"/>
      <c r="D5" s="9"/>
      <c r="E5" s="9"/>
      <c r="F5" s="9"/>
      <c r="G5" s="8"/>
      <c r="H5" s="8"/>
      <c r="I5" s="8"/>
    </row>
    <row r="6" spans="1:9">
      <c r="A6" s="13"/>
      <c r="B6" s="13"/>
      <c r="C6" s="9"/>
      <c r="D6" s="9"/>
      <c r="E6" s="9"/>
      <c r="F6" s="9"/>
      <c r="G6" s="8"/>
      <c r="H6" s="8"/>
      <c r="I6" s="8"/>
    </row>
    <row r="7" spans="1:9">
      <c r="A7" s="13"/>
      <c r="B7" s="13"/>
      <c r="C7" s="9"/>
      <c r="D7" s="9"/>
      <c r="E7" s="9"/>
      <c r="F7" s="9"/>
      <c r="G7" s="8"/>
      <c r="H7" s="8"/>
      <c r="I7" s="8"/>
    </row>
    <row r="8" spans="1:9">
      <c r="A8" s="6"/>
      <c r="B8" s="6"/>
      <c r="C8" s="8"/>
      <c r="D8" s="8"/>
      <c r="E8" s="9"/>
      <c r="F8" s="9"/>
      <c r="G8" s="8"/>
      <c r="H8" s="8"/>
      <c r="I8" s="8"/>
    </row>
    <row r="9" spans="1:9">
      <c r="A9" s="6"/>
      <c r="B9" s="6"/>
      <c r="C9" s="8"/>
      <c r="D9" s="8"/>
      <c r="E9" s="8"/>
      <c r="F9" s="8"/>
      <c r="G9" s="8"/>
      <c r="H9" s="8"/>
      <c r="I9" s="8"/>
    </row>
    <row r="10" spans="1:9">
      <c r="A10" s="6"/>
      <c r="B10" s="6"/>
      <c r="C10" s="6"/>
      <c r="D10" s="6"/>
      <c r="E10" s="6"/>
      <c r="F10" s="6"/>
      <c r="G10" s="6"/>
      <c r="H10" s="6"/>
      <c r="I10" s="8"/>
    </row>
    <row r="11" spans="1:9">
      <c r="A11" s="6"/>
      <c r="B11" s="6"/>
      <c r="C11" s="6"/>
      <c r="D11" s="6"/>
      <c r="E11" s="6"/>
      <c r="F11" s="6"/>
      <c r="G11" s="6"/>
      <c r="H11" s="6"/>
      <c r="I11" s="8"/>
    </row>
    <row r="12" spans="1:9">
      <c r="A12" s="6"/>
      <c r="B12" s="6"/>
      <c r="C12" s="6"/>
      <c r="D12" s="6"/>
      <c r="E12" s="6"/>
      <c r="F12" s="6"/>
      <c r="G12" s="6"/>
      <c r="H12" s="6"/>
      <c r="I12" s="8"/>
    </row>
    <row r="13" spans="1:9">
      <c r="A13" t="s">
        <v>558</v>
      </c>
      <c r="C13" s="11">
        <f t="shared" ref="C13:I13" si="0">SUM(C3:C12)</f>
        <v>100000000</v>
      </c>
      <c r="D13" s="11">
        <f t="shared" si="0"/>
        <v>100000000</v>
      </c>
      <c r="E13" s="11">
        <f t="shared" si="0"/>
        <v>700000</v>
      </c>
      <c r="F13" s="11">
        <f t="shared" si="0"/>
        <v>0</v>
      </c>
      <c r="G13" s="11">
        <f t="shared" si="0"/>
        <v>0</v>
      </c>
      <c r="H13" s="11">
        <f t="shared" si="0"/>
        <v>0</v>
      </c>
      <c r="I13" s="11">
        <f t="shared" si="0"/>
        <v>0</v>
      </c>
    </row>
  </sheetData>
  <mergeCells count="1">
    <mergeCell ref="A1:I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13"/>
  <sheetViews>
    <sheetView workbookViewId="0">
      <selection activeCell="J1" sqref="J1"/>
    </sheetView>
  </sheetViews>
  <sheetFormatPr defaultColWidth="9" defaultRowHeight="13.5"/>
  <cols>
    <col min="1" max="9" width="15.75" customWidth="1"/>
  </cols>
  <sheetData>
    <row r="1" ht="18.75" spans="1:11">
      <c r="A1" s="2" t="s">
        <v>587</v>
      </c>
      <c r="B1" s="2"/>
      <c r="C1" s="2"/>
      <c r="D1" s="2"/>
      <c r="E1" s="2"/>
      <c r="F1" s="2"/>
      <c r="G1" s="2"/>
      <c r="H1" s="2"/>
      <c r="I1" s="2"/>
      <c r="J1" s="12" t="s">
        <v>544</v>
      </c>
      <c r="K1" s="12" t="s">
        <v>545</v>
      </c>
    </row>
    <row r="2" spans="1:9">
      <c r="A2" s="3" t="s">
        <v>2</v>
      </c>
      <c r="B2" s="3" t="s">
        <v>557</v>
      </c>
      <c r="C2" s="3" t="s">
        <v>6</v>
      </c>
      <c r="D2" s="3" t="s">
        <v>513</v>
      </c>
      <c r="E2" s="3" t="s">
        <v>515</v>
      </c>
      <c r="F2" s="3" t="s">
        <v>517</v>
      </c>
      <c r="G2" s="3" t="s">
        <v>519</v>
      </c>
      <c r="H2" s="4" t="s">
        <v>521</v>
      </c>
      <c r="I2" s="4" t="s">
        <v>522</v>
      </c>
    </row>
    <row r="3" spans="1:9">
      <c r="A3" s="13">
        <v>42704</v>
      </c>
      <c r="B3" s="13">
        <v>42704</v>
      </c>
      <c r="C3" s="9">
        <v>60000000</v>
      </c>
      <c r="D3" s="9"/>
      <c r="E3" s="9">
        <v>450000</v>
      </c>
      <c r="F3" s="9">
        <v>300000</v>
      </c>
      <c r="G3" s="9"/>
      <c r="H3" s="8"/>
      <c r="I3" s="8"/>
    </row>
    <row r="4" spans="1:9">
      <c r="A4" s="13"/>
      <c r="B4" s="13">
        <v>42724</v>
      </c>
      <c r="C4" s="9"/>
      <c r="D4" s="9"/>
      <c r="E4" s="9">
        <v>450000</v>
      </c>
      <c r="F4" s="9">
        <v>300000</v>
      </c>
      <c r="G4" s="8"/>
      <c r="H4" s="8"/>
      <c r="I4" s="8"/>
    </row>
    <row r="5" spans="1:9">
      <c r="A5" s="13"/>
      <c r="B5" s="23">
        <v>42755</v>
      </c>
      <c r="C5" s="9"/>
      <c r="D5" s="9"/>
      <c r="E5" s="9">
        <v>450000</v>
      </c>
      <c r="F5" s="9">
        <v>300000</v>
      </c>
      <c r="G5" s="8"/>
      <c r="H5" s="8"/>
      <c r="I5" s="8"/>
    </row>
    <row r="6" spans="1:9">
      <c r="A6" s="13"/>
      <c r="B6" s="13">
        <v>42794</v>
      </c>
      <c r="C6" s="9"/>
      <c r="D6" s="9"/>
      <c r="E6" s="9">
        <v>450000</v>
      </c>
      <c r="F6" s="9">
        <v>300000</v>
      </c>
      <c r="G6" s="8"/>
      <c r="H6" s="8"/>
      <c r="I6" s="8"/>
    </row>
    <row r="7" spans="1:9">
      <c r="A7" s="13"/>
      <c r="B7" s="13">
        <v>42814</v>
      </c>
      <c r="C7" s="9"/>
      <c r="D7" s="9"/>
      <c r="E7" s="9">
        <v>450000</v>
      </c>
      <c r="F7" s="9">
        <v>300000</v>
      </c>
      <c r="G7" s="8"/>
      <c r="H7" s="8"/>
      <c r="I7" s="8"/>
    </row>
    <row r="8" spans="1:9">
      <c r="A8" s="6"/>
      <c r="B8" s="6">
        <v>42845</v>
      </c>
      <c r="C8" s="8"/>
      <c r="D8" s="8"/>
      <c r="E8" s="9">
        <v>450000</v>
      </c>
      <c r="F8" s="9">
        <v>300000</v>
      </c>
      <c r="G8" s="8"/>
      <c r="H8" s="8"/>
      <c r="I8" s="8"/>
    </row>
    <row r="9" spans="1:9">
      <c r="A9" s="6"/>
      <c r="B9" s="6">
        <v>42886</v>
      </c>
      <c r="C9" s="8"/>
      <c r="D9" s="8">
        <v>60000000</v>
      </c>
      <c r="E9" s="8">
        <v>20000</v>
      </c>
      <c r="F9" s="8">
        <v>30000</v>
      </c>
      <c r="G9" s="8"/>
      <c r="H9" s="8"/>
      <c r="I9" s="8"/>
    </row>
    <row r="10" spans="1:9">
      <c r="A10" s="6"/>
      <c r="B10" s="6"/>
      <c r="C10" s="6"/>
      <c r="D10" s="6"/>
      <c r="E10" s="6"/>
      <c r="F10" s="6"/>
      <c r="G10" s="6"/>
      <c r="H10" s="6"/>
      <c r="I10" s="8"/>
    </row>
    <row r="11" spans="1:9">
      <c r="A11" s="6"/>
      <c r="B11" s="6"/>
      <c r="C11" s="6"/>
      <c r="D11" s="6"/>
      <c r="E11" s="6"/>
      <c r="F11" s="6"/>
      <c r="G11" s="6"/>
      <c r="H11" s="6"/>
      <c r="I11" s="8"/>
    </row>
    <row r="12" spans="1:9">
      <c r="A12" s="6"/>
      <c r="B12" s="6"/>
      <c r="C12" s="6"/>
      <c r="D12" s="6"/>
      <c r="E12" s="6"/>
      <c r="F12" s="6"/>
      <c r="G12" s="6"/>
      <c r="H12" s="6"/>
      <c r="I12" s="8"/>
    </row>
    <row r="13" spans="1:9">
      <c r="A13" t="s">
        <v>558</v>
      </c>
      <c r="C13" s="11">
        <f t="shared" ref="C13:I13" si="0">SUM(C3:C12)</f>
        <v>60000000</v>
      </c>
      <c r="D13" s="11">
        <f t="shared" si="0"/>
        <v>60000000</v>
      </c>
      <c r="E13" s="11">
        <f t="shared" si="0"/>
        <v>2720000</v>
      </c>
      <c r="F13" s="11">
        <f t="shared" si="0"/>
        <v>1830000</v>
      </c>
      <c r="G13" s="11">
        <f t="shared" si="0"/>
        <v>0</v>
      </c>
      <c r="H13" s="11">
        <f t="shared" si="0"/>
        <v>0</v>
      </c>
      <c r="I13" s="11">
        <f t="shared" si="0"/>
        <v>0</v>
      </c>
    </row>
  </sheetData>
  <mergeCells count="1">
    <mergeCell ref="A1:I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15"/>
  <sheetViews>
    <sheetView workbookViewId="0">
      <selection activeCell="K1" sqref="K1"/>
    </sheetView>
  </sheetViews>
  <sheetFormatPr defaultColWidth="9" defaultRowHeight="13.5"/>
  <cols>
    <col min="1" max="9" width="15.75" customWidth="1"/>
  </cols>
  <sheetData>
    <row r="1" ht="18.75" spans="1:11">
      <c r="A1" s="2" t="s">
        <v>588</v>
      </c>
      <c r="B1" s="2"/>
      <c r="C1" s="2"/>
      <c r="D1" s="2"/>
      <c r="E1" s="2"/>
      <c r="F1" s="2"/>
      <c r="G1" s="2"/>
      <c r="H1" s="2"/>
      <c r="I1" s="2"/>
      <c r="J1" s="12" t="s">
        <v>544</v>
      </c>
      <c r="K1" s="12" t="s">
        <v>545</v>
      </c>
    </row>
    <row r="2" spans="1:9">
      <c r="A2" s="3" t="s">
        <v>2</v>
      </c>
      <c r="B2" s="3" t="s">
        <v>557</v>
      </c>
      <c r="C2" s="3" t="s">
        <v>6</v>
      </c>
      <c r="D2" s="3" t="s">
        <v>513</v>
      </c>
      <c r="E2" s="3" t="s">
        <v>515</v>
      </c>
      <c r="F2" s="3" t="s">
        <v>517</v>
      </c>
      <c r="G2" s="3" t="s">
        <v>519</v>
      </c>
      <c r="H2" s="4" t="s">
        <v>521</v>
      </c>
      <c r="I2" s="4" t="s">
        <v>522</v>
      </c>
    </row>
    <row r="3" spans="1:9">
      <c r="A3" s="13">
        <v>42704</v>
      </c>
      <c r="B3" s="13">
        <v>42704</v>
      </c>
      <c r="C3" s="9">
        <v>40000000</v>
      </c>
      <c r="D3" s="9"/>
      <c r="E3" s="9">
        <v>300000</v>
      </c>
      <c r="F3" s="9">
        <v>200000</v>
      </c>
      <c r="G3" s="9"/>
      <c r="H3" s="8"/>
      <c r="I3" s="8"/>
    </row>
    <row r="4" spans="1:9">
      <c r="A4" s="13"/>
      <c r="B4" s="13">
        <v>42724</v>
      </c>
      <c r="C4" s="9"/>
      <c r="D4" s="9"/>
      <c r="E4" s="9">
        <v>300000</v>
      </c>
      <c r="F4" s="9">
        <v>200000</v>
      </c>
      <c r="G4" s="9"/>
      <c r="H4" s="8"/>
      <c r="I4" s="8"/>
    </row>
    <row r="5" spans="1:9">
      <c r="A5" s="13"/>
      <c r="B5" s="23">
        <v>42755</v>
      </c>
      <c r="C5" s="9"/>
      <c r="D5" s="9"/>
      <c r="E5" s="9">
        <v>300000</v>
      </c>
      <c r="F5" s="9">
        <v>200000</v>
      </c>
      <c r="G5" s="9"/>
      <c r="H5" s="8"/>
      <c r="I5" s="8"/>
    </row>
    <row r="6" spans="1:9">
      <c r="A6" s="13"/>
      <c r="B6" s="13">
        <v>42794</v>
      </c>
      <c r="C6" s="9"/>
      <c r="D6" s="9"/>
      <c r="E6" s="9">
        <v>300000</v>
      </c>
      <c r="F6" s="9">
        <v>200000</v>
      </c>
      <c r="G6" s="8"/>
      <c r="H6" s="8"/>
      <c r="I6" s="8"/>
    </row>
    <row r="7" spans="1:9">
      <c r="A7" s="13"/>
      <c r="B7" s="13">
        <v>42814</v>
      </c>
      <c r="C7" s="9"/>
      <c r="D7" s="9"/>
      <c r="E7" s="9">
        <v>300000</v>
      </c>
      <c r="F7" s="9">
        <v>200000</v>
      </c>
      <c r="G7" s="8"/>
      <c r="H7" s="8"/>
      <c r="I7" s="8"/>
    </row>
    <row r="8" spans="1:9">
      <c r="A8" s="6"/>
      <c r="B8" s="6">
        <v>42845</v>
      </c>
      <c r="C8" s="8"/>
      <c r="D8" s="8"/>
      <c r="E8" s="9">
        <v>300000</v>
      </c>
      <c r="F8" s="9">
        <v>200000</v>
      </c>
      <c r="G8" s="8"/>
      <c r="H8" s="8"/>
      <c r="I8" s="8"/>
    </row>
    <row r="9" spans="1:9">
      <c r="A9" s="13"/>
      <c r="B9" s="13">
        <v>42886</v>
      </c>
      <c r="C9" s="9"/>
      <c r="D9" s="9">
        <v>40000000</v>
      </c>
      <c r="E9" s="9">
        <v>-280000</v>
      </c>
      <c r="F9" s="9">
        <v>-186667</v>
      </c>
      <c r="G9" s="8"/>
      <c r="H9" s="8"/>
      <c r="I9" s="8"/>
    </row>
    <row r="10" spans="1:9">
      <c r="A10" s="6"/>
      <c r="B10" s="13"/>
      <c r="C10" s="8"/>
      <c r="D10" s="8"/>
      <c r="E10" s="8"/>
      <c r="F10" s="8"/>
      <c r="G10" s="8"/>
      <c r="H10" s="8"/>
      <c r="I10" s="8"/>
    </row>
    <row r="11" spans="1:9">
      <c r="A11" s="6"/>
      <c r="B11" s="6"/>
      <c r="C11" s="8"/>
      <c r="D11" s="8"/>
      <c r="E11" s="8"/>
      <c r="F11" s="8"/>
      <c r="G11" s="8"/>
      <c r="H11" s="8"/>
      <c r="I11" s="8"/>
    </row>
    <row r="12" spans="1:9">
      <c r="A12" s="6"/>
      <c r="B12" s="6"/>
      <c r="C12" s="6"/>
      <c r="D12" s="6"/>
      <c r="E12" s="6"/>
      <c r="F12" s="6"/>
      <c r="G12" s="6"/>
      <c r="H12" s="6"/>
      <c r="I12" s="8"/>
    </row>
    <row r="13" spans="1:9">
      <c r="A13" s="6"/>
      <c r="B13" s="6"/>
      <c r="C13" s="6"/>
      <c r="D13" s="6"/>
      <c r="E13" s="6"/>
      <c r="F13" s="6"/>
      <c r="G13" s="6"/>
      <c r="H13" s="6"/>
      <c r="I13" s="8"/>
    </row>
    <row r="14" spans="1:9">
      <c r="A14" s="6"/>
      <c r="B14" s="6"/>
      <c r="C14" s="6"/>
      <c r="D14" s="6"/>
      <c r="E14" s="6"/>
      <c r="F14" s="6"/>
      <c r="G14" s="6"/>
      <c r="H14" s="6"/>
      <c r="I14" s="8"/>
    </row>
    <row r="15" spans="1:9">
      <c r="A15" t="s">
        <v>558</v>
      </c>
      <c r="C15" s="11">
        <f t="shared" ref="C15:I15" si="0">SUM(C3:C14)</f>
        <v>40000000</v>
      </c>
      <c r="D15" s="11">
        <f t="shared" si="0"/>
        <v>40000000</v>
      </c>
      <c r="E15" s="11">
        <f t="shared" si="0"/>
        <v>1520000</v>
      </c>
      <c r="F15" s="11">
        <f t="shared" si="0"/>
        <v>1013333</v>
      </c>
      <c r="G15" s="11">
        <f t="shared" si="0"/>
        <v>0</v>
      </c>
      <c r="H15" s="11">
        <f t="shared" si="0"/>
        <v>0</v>
      </c>
      <c r="I15" s="11">
        <f t="shared" si="0"/>
        <v>0</v>
      </c>
    </row>
  </sheetData>
  <mergeCells count="1">
    <mergeCell ref="A1:I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19"/>
  <sheetViews>
    <sheetView workbookViewId="0">
      <selection activeCell="K1" sqref="K1"/>
    </sheetView>
  </sheetViews>
  <sheetFormatPr defaultColWidth="9" defaultRowHeight="13.5"/>
  <cols>
    <col min="1" max="9" width="15.75" customWidth="1"/>
  </cols>
  <sheetData>
    <row r="1" ht="18.75" spans="1:11">
      <c r="A1" s="2" t="s">
        <v>589</v>
      </c>
      <c r="B1" s="2"/>
      <c r="C1" s="2"/>
      <c r="D1" s="2"/>
      <c r="E1" s="2"/>
      <c r="F1" s="2"/>
      <c r="G1" s="2"/>
      <c r="H1" s="2"/>
      <c r="I1" s="2"/>
      <c r="J1" s="12" t="s">
        <v>544</v>
      </c>
      <c r="K1" s="12" t="s">
        <v>545</v>
      </c>
    </row>
    <row r="2" spans="1:9">
      <c r="A2" s="3" t="s">
        <v>2</v>
      </c>
      <c r="B2" s="3" t="s">
        <v>557</v>
      </c>
      <c r="C2" s="3" t="s">
        <v>6</v>
      </c>
      <c r="D2" s="3" t="s">
        <v>513</v>
      </c>
      <c r="E2" s="3" t="s">
        <v>515</v>
      </c>
      <c r="F2" s="3" t="s">
        <v>517</v>
      </c>
      <c r="G2" s="3" t="s">
        <v>519</v>
      </c>
      <c r="H2" s="4" t="s">
        <v>521</v>
      </c>
      <c r="I2" s="4" t="s">
        <v>522</v>
      </c>
    </row>
    <row r="3" spans="1:9">
      <c r="A3" s="13">
        <v>42902</v>
      </c>
      <c r="B3" s="13">
        <v>42902</v>
      </c>
      <c r="C3" s="9">
        <v>70000000</v>
      </c>
      <c r="D3" s="9"/>
      <c r="E3" s="9">
        <v>98000</v>
      </c>
      <c r="F3" s="9"/>
      <c r="G3" s="9">
        <v>882000</v>
      </c>
      <c r="H3" s="9"/>
      <c r="I3" s="8"/>
    </row>
    <row r="4" spans="1:9">
      <c r="A4" s="13"/>
      <c r="B4" s="13">
        <v>42909</v>
      </c>
      <c r="C4" s="9"/>
      <c r="D4" s="9">
        <v>30000000</v>
      </c>
      <c r="E4" s="9"/>
      <c r="F4" s="9"/>
      <c r="G4" s="9"/>
      <c r="H4" s="8"/>
      <c r="I4" s="8"/>
    </row>
    <row r="5" spans="1:9">
      <c r="A5" s="13"/>
      <c r="B5" s="13">
        <v>42916</v>
      </c>
      <c r="C5" s="9"/>
      <c r="D5" s="9">
        <v>40000000</v>
      </c>
      <c r="E5" s="9"/>
      <c r="F5" s="9"/>
      <c r="G5" s="9"/>
      <c r="H5" s="8"/>
      <c r="I5" s="8">
        <v>1020000</v>
      </c>
    </row>
    <row r="6" spans="1:9">
      <c r="A6" s="13"/>
      <c r="B6" s="13"/>
      <c r="C6" s="9"/>
      <c r="D6" s="9"/>
      <c r="E6" s="9"/>
      <c r="F6" s="9"/>
      <c r="G6" s="9"/>
      <c r="H6" s="8"/>
      <c r="I6" s="8"/>
    </row>
    <row r="7" spans="1:9">
      <c r="A7" s="13"/>
      <c r="B7" s="13"/>
      <c r="C7" s="9"/>
      <c r="D7" s="9"/>
      <c r="E7" s="9"/>
      <c r="F7" s="9"/>
      <c r="G7" s="9"/>
      <c r="H7" s="8"/>
      <c r="I7" s="8"/>
    </row>
    <row r="8" spans="1:9">
      <c r="A8" s="13"/>
      <c r="B8" s="13"/>
      <c r="C8" s="9"/>
      <c r="D8" s="9"/>
      <c r="E8" s="9"/>
      <c r="F8" s="9"/>
      <c r="G8" s="9"/>
      <c r="H8" s="8"/>
      <c r="I8" s="8"/>
    </row>
    <row r="9" spans="1:9">
      <c r="A9" s="13"/>
      <c r="B9" s="13"/>
      <c r="C9" s="9"/>
      <c r="D9" s="9"/>
      <c r="E9" s="9"/>
      <c r="F9" s="9"/>
      <c r="G9" s="9"/>
      <c r="H9" s="8"/>
      <c r="I9" s="8"/>
    </row>
    <row r="10" spans="1:9">
      <c r="A10" s="13"/>
      <c r="B10" s="13"/>
      <c r="C10" s="9"/>
      <c r="D10" s="9"/>
      <c r="E10" s="9"/>
      <c r="F10" s="9"/>
      <c r="G10" s="8"/>
      <c r="H10" s="8"/>
      <c r="I10" s="8"/>
    </row>
    <row r="11" spans="1:9">
      <c r="A11" s="13"/>
      <c r="B11" s="23"/>
      <c r="C11" s="9"/>
      <c r="D11" s="9"/>
      <c r="E11" s="9"/>
      <c r="F11" s="9"/>
      <c r="G11" s="8"/>
      <c r="H11" s="8"/>
      <c r="I11" s="8"/>
    </row>
    <row r="12" spans="1:9">
      <c r="A12" s="13"/>
      <c r="B12" s="13"/>
      <c r="C12" s="9"/>
      <c r="D12" s="9"/>
      <c r="E12" s="9"/>
      <c r="F12" s="9"/>
      <c r="G12" s="8"/>
      <c r="H12" s="8"/>
      <c r="I12" s="8"/>
    </row>
    <row r="13" spans="1:9">
      <c r="A13" s="13"/>
      <c r="B13" s="13"/>
      <c r="C13" s="9"/>
      <c r="D13" s="9"/>
      <c r="E13" s="9"/>
      <c r="F13" s="9"/>
      <c r="G13" s="8"/>
      <c r="H13" s="8"/>
      <c r="I13" s="8"/>
    </row>
    <row r="14" spans="1:9">
      <c r="A14" s="6"/>
      <c r="B14" s="6"/>
      <c r="C14" s="8"/>
      <c r="D14" s="8"/>
      <c r="E14" s="8"/>
      <c r="F14" s="8"/>
      <c r="G14" s="8"/>
      <c r="H14" s="8"/>
      <c r="I14" s="8"/>
    </row>
    <row r="15" spans="1:9">
      <c r="A15" s="6"/>
      <c r="B15" s="6"/>
      <c r="C15" s="8"/>
      <c r="D15" s="8"/>
      <c r="E15" s="8"/>
      <c r="F15" s="8"/>
      <c r="G15" s="8"/>
      <c r="H15" s="8"/>
      <c r="I15" s="8"/>
    </row>
    <row r="16" spans="1:9">
      <c r="A16" s="6"/>
      <c r="B16" s="6"/>
      <c r="C16" s="6"/>
      <c r="D16" s="6"/>
      <c r="E16" s="6"/>
      <c r="F16" s="6"/>
      <c r="G16" s="6"/>
      <c r="H16" s="6"/>
      <c r="I16" s="8"/>
    </row>
    <row r="17" spans="1:9">
      <c r="A17" s="6"/>
      <c r="B17" s="6"/>
      <c r="C17" s="6"/>
      <c r="D17" s="6"/>
      <c r="E17" s="6"/>
      <c r="F17" s="6"/>
      <c r="G17" s="6"/>
      <c r="H17" s="6"/>
      <c r="I17" s="8"/>
    </row>
    <row r="18" spans="1:9">
      <c r="A18" s="6"/>
      <c r="B18" s="6"/>
      <c r="C18" s="6"/>
      <c r="D18" s="6"/>
      <c r="E18" s="6"/>
      <c r="F18" s="6"/>
      <c r="G18" s="6"/>
      <c r="H18" s="6"/>
      <c r="I18" s="8"/>
    </row>
    <row r="19" spans="1:9">
      <c r="A19" t="s">
        <v>558</v>
      </c>
      <c r="C19" s="11">
        <f t="shared" ref="C19:I19" si="0">SUM(C3:C18)</f>
        <v>70000000</v>
      </c>
      <c r="D19" s="11">
        <f t="shared" si="0"/>
        <v>70000000</v>
      </c>
      <c r="E19" s="11">
        <f t="shared" si="0"/>
        <v>98000</v>
      </c>
      <c r="F19" s="11">
        <f t="shared" si="0"/>
        <v>0</v>
      </c>
      <c r="G19" s="11">
        <f t="shared" si="0"/>
        <v>882000</v>
      </c>
      <c r="H19" s="11">
        <f t="shared" si="0"/>
        <v>0</v>
      </c>
      <c r="I19" s="11">
        <f t="shared" si="0"/>
        <v>1020000</v>
      </c>
    </row>
  </sheetData>
  <mergeCells count="1">
    <mergeCell ref="A1:I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19"/>
  <sheetViews>
    <sheetView topLeftCell="B1" workbookViewId="0">
      <selection activeCell="J1" sqref="J1"/>
    </sheetView>
  </sheetViews>
  <sheetFormatPr defaultColWidth="9" defaultRowHeight="13.5"/>
  <cols>
    <col min="1" max="2" width="10.5" customWidth="1"/>
    <col min="3" max="4" width="17.25" customWidth="1"/>
    <col min="5" max="7" width="16.125" customWidth="1"/>
    <col min="8" max="8" width="11.875" customWidth="1"/>
    <col min="9" max="9" width="12.75" customWidth="1"/>
  </cols>
  <sheetData>
    <row r="1" ht="18.75" spans="1:11">
      <c r="A1" s="2" t="s">
        <v>590</v>
      </c>
      <c r="B1" s="2"/>
      <c r="C1" s="2"/>
      <c r="D1" s="2"/>
      <c r="E1" s="2"/>
      <c r="F1" s="2"/>
      <c r="G1" s="2"/>
      <c r="H1" s="2"/>
      <c r="I1" s="2"/>
      <c r="J1" s="12" t="s">
        <v>544</v>
      </c>
      <c r="K1" s="12" t="s">
        <v>545</v>
      </c>
    </row>
    <row r="2" spans="1:9">
      <c r="A2" s="3" t="s">
        <v>2</v>
      </c>
      <c r="B2" s="3" t="s">
        <v>557</v>
      </c>
      <c r="C2" s="3" t="s">
        <v>6</v>
      </c>
      <c r="D2" s="3" t="s">
        <v>513</v>
      </c>
      <c r="E2" s="3" t="s">
        <v>515</v>
      </c>
      <c r="F2" s="3" t="s">
        <v>517</v>
      </c>
      <c r="G2" s="3" t="s">
        <v>519</v>
      </c>
      <c r="H2" s="4" t="s">
        <v>521</v>
      </c>
      <c r="I2" s="4" t="s">
        <v>522</v>
      </c>
    </row>
    <row r="3" spans="1:9">
      <c r="A3" s="13">
        <v>42965</v>
      </c>
      <c r="B3" s="13"/>
      <c r="C3" s="9">
        <v>30000000</v>
      </c>
      <c r="D3" s="9"/>
      <c r="E3" s="9"/>
      <c r="F3" s="9"/>
      <c r="G3" s="9"/>
      <c r="H3" s="8"/>
      <c r="I3" s="8"/>
    </row>
    <row r="4" spans="1:9">
      <c r="A4" s="13"/>
      <c r="B4" s="13">
        <v>42965</v>
      </c>
      <c r="C4" s="9"/>
      <c r="D4" s="9"/>
      <c r="E4" s="9">
        <v>180000</v>
      </c>
      <c r="F4" s="9"/>
      <c r="G4" s="9">
        <v>720000</v>
      </c>
      <c r="H4" s="8"/>
      <c r="I4" s="8"/>
    </row>
    <row r="5" spans="1:9">
      <c r="A5" s="13"/>
      <c r="B5" s="13">
        <v>42998</v>
      </c>
      <c r="C5" s="9"/>
      <c r="D5" s="9">
        <v>30000000</v>
      </c>
      <c r="E5" s="9"/>
      <c r="F5" s="9"/>
      <c r="G5" s="9"/>
      <c r="H5" s="8"/>
      <c r="I5" s="8">
        <v>90000</v>
      </c>
    </row>
    <row r="6" spans="1:9">
      <c r="A6" s="13"/>
      <c r="B6" s="13"/>
      <c r="C6" s="9"/>
      <c r="D6" s="9"/>
      <c r="E6" s="9"/>
      <c r="F6" s="9"/>
      <c r="G6" s="9"/>
      <c r="H6" s="8"/>
      <c r="I6" s="8"/>
    </row>
    <row r="7" spans="1:9">
      <c r="A7" s="13"/>
      <c r="B7" s="13"/>
      <c r="C7" s="9"/>
      <c r="D7" s="9"/>
      <c r="E7" s="9"/>
      <c r="F7" s="9"/>
      <c r="G7" s="9"/>
      <c r="H7" s="8"/>
      <c r="I7" s="8"/>
    </row>
    <row r="8" spans="1:9">
      <c r="A8" s="13"/>
      <c r="B8" s="13"/>
      <c r="C8" s="9"/>
      <c r="D8" s="9"/>
      <c r="E8" s="9"/>
      <c r="F8" s="9"/>
      <c r="G8" s="9"/>
      <c r="H8" s="8"/>
      <c r="I8" s="8"/>
    </row>
    <row r="9" spans="1:9">
      <c r="A9" s="13"/>
      <c r="B9" s="13"/>
      <c r="C9" s="9"/>
      <c r="D9" s="9"/>
      <c r="E9" s="9"/>
      <c r="F9" s="9"/>
      <c r="G9" s="9"/>
      <c r="H9" s="8"/>
      <c r="I9" s="8"/>
    </row>
    <row r="10" spans="1:9">
      <c r="A10" s="13"/>
      <c r="B10" s="13"/>
      <c r="C10" s="9"/>
      <c r="D10" s="9"/>
      <c r="E10" s="9"/>
      <c r="F10" s="9"/>
      <c r="G10" s="8"/>
      <c r="H10" s="8"/>
      <c r="I10" s="8"/>
    </row>
    <row r="11" spans="1:9">
      <c r="A11" s="13"/>
      <c r="B11" s="23"/>
      <c r="C11" s="9"/>
      <c r="D11" s="9"/>
      <c r="E11" s="9"/>
      <c r="F11" s="9"/>
      <c r="G11" s="8"/>
      <c r="H11" s="8"/>
      <c r="I11" s="8"/>
    </row>
    <row r="12" spans="1:9">
      <c r="A12" s="13"/>
      <c r="B12" s="13"/>
      <c r="C12" s="9"/>
      <c r="D12" s="9"/>
      <c r="E12" s="9"/>
      <c r="F12" s="9"/>
      <c r="G12" s="8"/>
      <c r="H12" s="8"/>
      <c r="I12" s="8"/>
    </row>
    <row r="13" spans="1:9">
      <c r="A13" s="13"/>
      <c r="B13" s="13"/>
      <c r="C13" s="9"/>
      <c r="D13" s="9"/>
      <c r="E13" s="9"/>
      <c r="F13" s="9"/>
      <c r="G13" s="8"/>
      <c r="H13" s="8"/>
      <c r="I13" s="8"/>
    </row>
    <row r="14" spans="1:9">
      <c r="A14" s="6"/>
      <c r="B14" s="6"/>
      <c r="C14" s="8"/>
      <c r="D14" s="8"/>
      <c r="E14" s="8"/>
      <c r="F14" s="8"/>
      <c r="G14" s="8"/>
      <c r="H14" s="8"/>
      <c r="I14" s="8"/>
    </row>
    <row r="15" spans="1:9">
      <c r="A15" s="6"/>
      <c r="B15" s="6"/>
      <c r="C15" s="8"/>
      <c r="D15" s="8"/>
      <c r="E15" s="8"/>
      <c r="F15" s="8"/>
      <c r="G15" s="8"/>
      <c r="H15" s="8"/>
      <c r="I15" s="8"/>
    </row>
    <row r="16" spans="1:9">
      <c r="A16" s="6"/>
      <c r="B16" s="6"/>
      <c r="C16" s="6"/>
      <c r="D16" s="6"/>
      <c r="E16" s="6"/>
      <c r="F16" s="6"/>
      <c r="G16" s="6"/>
      <c r="H16" s="6"/>
      <c r="I16" s="8"/>
    </row>
    <row r="17" spans="1:9">
      <c r="A17" s="6"/>
      <c r="B17" s="6"/>
      <c r="C17" s="6"/>
      <c r="D17" s="6"/>
      <c r="E17" s="6"/>
      <c r="F17" s="6"/>
      <c r="G17" s="6"/>
      <c r="H17" s="6"/>
      <c r="I17" s="8"/>
    </row>
    <row r="18" spans="1:9">
      <c r="A18" s="6"/>
      <c r="B18" s="6"/>
      <c r="C18" s="6"/>
      <c r="D18" s="6"/>
      <c r="E18" s="6"/>
      <c r="F18" s="6"/>
      <c r="G18" s="6"/>
      <c r="H18" s="6"/>
      <c r="I18" s="8"/>
    </row>
    <row r="19" spans="1:9">
      <c r="A19" t="s">
        <v>558</v>
      </c>
      <c r="C19" s="11">
        <f t="shared" ref="C19:I19" si="0">SUM(C3:C18)</f>
        <v>30000000</v>
      </c>
      <c r="D19" s="11">
        <f t="shared" si="0"/>
        <v>30000000</v>
      </c>
      <c r="E19" s="11">
        <f t="shared" si="0"/>
        <v>180000</v>
      </c>
      <c r="F19" s="11">
        <f t="shared" si="0"/>
        <v>0</v>
      </c>
      <c r="G19" s="11">
        <f t="shared" si="0"/>
        <v>720000</v>
      </c>
      <c r="H19" s="11">
        <f t="shared" si="0"/>
        <v>0</v>
      </c>
      <c r="I19" s="11">
        <f t="shared" si="0"/>
        <v>90000</v>
      </c>
    </row>
  </sheetData>
  <mergeCells count="1">
    <mergeCell ref="A1:I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19"/>
  <sheetViews>
    <sheetView workbookViewId="0">
      <selection activeCell="J1" sqref="J1"/>
    </sheetView>
  </sheetViews>
  <sheetFormatPr defaultColWidth="9" defaultRowHeight="13.5"/>
  <cols>
    <col min="1" max="9" width="15.75" customWidth="1"/>
  </cols>
  <sheetData>
    <row r="1" ht="18.75" spans="1:11">
      <c r="A1" s="2" t="s">
        <v>591</v>
      </c>
      <c r="B1" s="2"/>
      <c r="C1" s="2"/>
      <c r="D1" s="2"/>
      <c r="E1" s="2"/>
      <c r="F1" s="2"/>
      <c r="G1" s="2"/>
      <c r="H1" s="2"/>
      <c r="I1" s="2"/>
      <c r="J1" s="12" t="s">
        <v>544</v>
      </c>
      <c r="K1" s="12" t="s">
        <v>545</v>
      </c>
    </row>
    <row r="2" spans="1:9">
      <c r="A2" s="3" t="s">
        <v>2</v>
      </c>
      <c r="B2" s="3" t="s">
        <v>557</v>
      </c>
      <c r="C2" s="3" t="s">
        <v>6</v>
      </c>
      <c r="D2" s="3" t="s">
        <v>513</v>
      </c>
      <c r="E2" s="3" t="s">
        <v>515</v>
      </c>
      <c r="F2" s="3" t="s">
        <v>517</v>
      </c>
      <c r="G2" s="3" t="s">
        <v>519</v>
      </c>
      <c r="H2" s="4" t="s">
        <v>521</v>
      </c>
      <c r="I2" s="4" t="s">
        <v>522</v>
      </c>
    </row>
    <row r="3" spans="1:9">
      <c r="A3" s="13">
        <v>42998</v>
      </c>
      <c r="B3" s="13">
        <v>42998</v>
      </c>
      <c r="C3" s="9">
        <v>30000000</v>
      </c>
      <c r="D3" s="9"/>
      <c r="E3" s="9">
        <v>1200000</v>
      </c>
      <c r="F3" s="9"/>
      <c r="G3" s="9"/>
      <c r="H3" s="9"/>
      <c r="I3" s="8"/>
    </row>
    <row r="4" spans="1:9">
      <c r="A4" s="13"/>
      <c r="B4" s="13">
        <v>43061</v>
      </c>
      <c r="C4" s="9"/>
      <c r="D4" s="9"/>
      <c r="E4" s="9">
        <v>400000</v>
      </c>
      <c r="F4" s="9"/>
      <c r="G4" s="9"/>
      <c r="H4" s="8"/>
      <c r="I4" s="8"/>
    </row>
    <row r="5" spans="1:9">
      <c r="A5" s="13"/>
      <c r="B5" s="13">
        <v>43067</v>
      </c>
      <c r="C5" s="9"/>
      <c r="D5" s="9"/>
      <c r="E5" s="9">
        <v>350000</v>
      </c>
      <c r="F5" s="9"/>
      <c r="G5" s="9"/>
      <c r="H5" s="8"/>
      <c r="I5" s="8"/>
    </row>
    <row r="6" spans="1:9">
      <c r="A6" s="13"/>
      <c r="B6" s="13">
        <v>43098</v>
      </c>
      <c r="C6" s="9"/>
      <c r="D6" s="9"/>
      <c r="E6" s="9">
        <v>600000</v>
      </c>
      <c r="F6" s="9"/>
      <c r="G6" s="9"/>
      <c r="H6" s="8"/>
      <c r="I6" s="8"/>
    </row>
    <row r="7" spans="1:9">
      <c r="A7" s="13"/>
      <c r="B7" s="13">
        <v>43109</v>
      </c>
      <c r="C7" s="9"/>
      <c r="D7" s="9"/>
      <c r="E7" s="9">
        <v>2520000</v>
      </c>
      <c r="F7" s="9"/>
      <c r="G7" s="9"/>
      <c r="H7" s="8"/>
      <c r="I7" s="8"/>
    </row>
    <row r="8" spans="1:9">
      <c r="A8" s="13"/>
      <c r="B8" s="13"/>
      <c r="C8" s="9"/>
      <c r="D8" s="9"/>
      <c r="E8" s="9"/>
      <c r="F8" s="9"/>
      <c r="G8" s="9"/>
      <c r="H8" s="8"/>
      <c r="I8" s="8"/>
    </row>
    <row r="9" spans="1:9">
      <c r="A9" s="13"/>
      <c r="B9" s="13"/>
      <c r="C9" s="9"/>
      <c r="D9" s="9"/>
      <c r="E9" s="9"/>
      <c r="F9" s="9"/>
      <c r="G9" s="9"/>
      <c r="H9" s="8"/>
      <c r="I9" s="8"/>
    </row>
    <row r="10" spans="1:9">
      <c r="A10" s="13"/>
      <c r="B10" s="13"/>
      <c r="C10" s="9"/>
      <c r="D10" s="9"/>
      <c r="E10" s="9"/>
      <c r="F10" s="9"/>
      <c r="G10" s="8"/>
      <c r="H10" s="8"/>
      <c r="I10" s="8"/>
    </row>
    <row r="11" spans="1:9">
      <c r="A11" s="13"/>
      <c r="B11" s="23"/>
      <c r="C11" s="9"/>
      <c r="D11" s="9"/>
      <c r="E11" s="9"/>
      <c r="F11" s="9"/>
      <c r="G11" s="8"/>
      <c r="H11" s="8"/>
      <c r="I11" s="8"/>
    </row>
    <row r="12" spans="1:9">
      <c r="A12" s="13"/>
      <c r="B12" s="13"/>
      <c r="C12" s="9"/>
      <c r="D12" s="9"/>
      <c r="E12" s="9"/>
      <c r="F12" s="9"/>
      <c r="G12" s="8"/>
      <c r="H12" s="8"/>
      <c r="I12" s="8"/>
    </row>
    <row r="13" spans="1:9">
      <c r="A13" s="13"/>
      <c r="B13" s="13"/>
      <c r="C13" s="9"/>
      <c r="D13" s="9"/>
      <c r="E13" s="9"/>
      <c r="F13" s="9"/>
      <c r="G13" s="8"/>
      <c r="H13" s="8"/>
      <c r="I13" s="8"/>
    </row>
    <row r="14" spans="1:9">
      <c r="A14" s="6"/>
      <c r="B14" s="6"/>
      <c r="C14" s="8"/>
      <c r="D14" s="8"/>
      <c r="E14" s="8"/>
      <c r="F14" s="8"/>
      <c r="G14" s="8"/>
      <c r="H14" s="8"/>
      <c r="I14" s="8"/>
    </row>
    <row r="15" spans="1:9">
      <c r="A15" s="6"/>
      <c r="B15" s="6"/>
      <c r="C15" s="8"/>
      <c r="D15" s="8"/>
      <c r="E15" s="8"/>
      <c r="F15" s="8"/>
      <c r="G15" s="8"/>
      <c r="H15" s="8"/>
      <c r="I15" s="8"/>
    </row>
    <row r="16" spans="1:9">
      <c r="A16" s="6"/>
      <c r="B16" s="6"/>
      <c r="C16" s="6"/>
      <c r="D16" s="6"/>
      <c r="E16" s="6"/>
      <c r="F16" s="6"/>
      <c r="G16" s="6"/>
      <c r="H16" s="6"/>
      <c r="I16" s="8"/>
    </row>
    <row r="17" spans="1:9">
      <c r="A17" s="6"/>
      <c r="B17" s="6"/>
      <c r="C17" s="6"/>
      <c r="D17" s="6"/>
      <c r="E17" s="6"/>
      <c r="F17" s="6"/>
      <c r="G17" s="6"/>
      <c r="H17" s="6"/>
      <c r="I17" s="8"/>
    </row>
    <row r="18" spans="1:9">
      <c r="A18" s="6"/>
      <c r="B18" s="6"/>
      <c r="C18" s="6"/>
      <c r="D18" s="6"/>
      <c r="E18" s="6"/>
      <c r="F18" s="6"/>
      <c r="G18" s="6"/>
      <c r="H18" s="6"/>
      <c r="I18" s="8"/>
    </row>
    <row r="19" spans="1:9">
      <c r="A19" t="s">
        <v>558</v>
      </c>
      <c r="C19" s="11">
        <f t="shared" ref="C19:I19" si="0">SUM(C3:C18)</f>
        <v>30000000</v>
      </c>
      <c r="D19" s="11">
        <f t="shared" si="0"/>
        <v>0</v>
      </c>
      <c r="E19" s="11">
        <f t="shared" si="0"/>
        <v>5070000</v>
      </c>
      <c r="F19" s="11">
        <f t="shared" si="0"/>
        <v>0</v>
      </c>
      <c r="G19" s="11">
        <f t="shared" si="0"/>
        <v>0</v>
      </c>
      <c r="H19" s="11">
        <f t="shared" si="0"/>
        <v>0</v>
      </c>
      <c r="I19" s="11">
        <f t="shared" si="0"/>
        <v>0</v>
      </c>
    </row>
  </sheetData>
  <mergeCells count="1">
    <mergeCell ref="A1:I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19"/>
  <sheetViews>
    <sheetView workbookViewId="0">
      <selection activeCell="J1" sqref="J1"/>
    </sheetView>
  </sheetViews>
  <sheetFormatPr defaultColWidth="9" defaultRowHeight="13.5"/>
  <cols>
    <col min="1" max="2" width="11.625" customWidth="1"/>
    <col min="3" max="3" width="18.375" customWidth="1"/>
    <col min="5" max="6" width="16.125" customWidth="1"/>
    <col min="7" max="7" width="11.5" customWidth="1"/>
    <col min="8" max="8" width="16.125" customWidth="1"/>
  </cols>
  <sheetData>
    <row r="1" ht="18.75" spans="1:11">
      <c r="A1" s="2" t="s">
        <v>592</v>
      </c>
      <c r="B1" s="2"/>
      <c r="C1" s="2"/>
      <c r="D1" s="2"/>
      <c r="E1" s="2"/>
      <c r="F1" s="2"/>
      <c r="G1" s="2"/>
      <c r="H1" s="2"/>
      <c r="I1" s="2"/>
      <c r="J1" s="12" t="s">
        <v>544</v>
      </c>
      <c r="K1" s="12" t="s">
        <v>545</v>
      </c>
    </row>
    <row r="2" spans="1:9">
      <c r="A2" s="3" t="s">
        <v>2</v>
      </c>
      <c r="B2" s="3" t="s">
        <v>557</v>
      </c>
      <c r="C2" s="3" t="s">
        <v>6</v>
      </c>
      <c r="D2" s="3" t="s">
        <v>513</v>
      </c>
      <c r="E2" s="3" t="s">
        <v>515</v>
      </c>
      <c r="F2" s="3" t="s">
        <v>517</v>
      </c>
      <c r="G2" s="3" t="s">
        <v>519</v>
      </c>
      <c r="H2" s="4" t="s">
        <v>521</v>
      </c>
      <c r="I2" s="4" t="s">
        <v>522</v>
      </c>
    </row>
    <row r="3" spans="1:9">
      <c r="A3" s="13">
        <v>43006</v>
      </c>
      <c r="B3" s="13">
        <v>43007</v>
      </c>
      <c r="C3" s="9">
        <v>50000000</v>
      </c>
      <c r="D3" s="9"/>
      <c r="E3" s="9">
        <v>375000</v>
      </c>
      <c r="F3" s="9">
        <v>1250000</v>
      </c>
      <c r="G3" s="9"/>
      <c r="H3" s="9">
        <v>5000000</v>
      </c>
      <c r="I3" s="8"/>
    </row>
    <row r="4" spans="1:9">
      <c r="A4" s="13"/>
      <c r="B4" s="13">
        <v>43028</v>
      </c>
      <c r="C4" s="9"/>
      <c r="D4" s="9"/>
      <c r="E4" s="9">
        <v>375000</v>
      </c>
      <c r="F4" s="9"/>
      <c r="G4" s="9"/>
      <c r="H4" s="9"/>
      <c r="I4" s="8"/>
    </row>
    <row r="5" spans="1:9">
      <c r="A5" s="13"/>
      <c r="B5" s="13">
        <v>43059</v>
      </c>
      <c r="C5" s="9"/>
      <c r="D5" s="9"/>
      <c r="E5" s="9">
        <v>375000</v>
      </c>
      <c r="F5" s="9"/>
      <c r="G5" s="9"/>
      <c r="H5" s="9"/>
      <c r="I5" s="8"/>
    </row>
    <row r="6" spans="1:9">
      <c r="A6" s="13"/>
      <c r="B6" s="13">
        <v>43089</v>
      </c>
      <c r="C6" s="9"/>
      <c r="D6" s="9"/>
      <c r="E6" s="9">
        <v>375000</v>
      </c>
      <c r="F6" s="9"/>
      <c r="G6" s="9"/>
      <c r="H6" s="8"/>
      <c r="I6" s="8"/>
    </row>
    <row r="7" spans="1:9">
      <c r="A7" s="13"/>
      <c r="B7" s="13"/>
      <c r="C7" s="9"/>
      <c r="D7" s="9"/>
      <c r="E7" s="9"/>
      <c r="F7" s="9"/>
      <c r="G7" s="9"/>
      <c r="H7" s="8"/>
      <c r="I7" s="8"/>
    </row>
    <row r="8" spans="1:9">
      <c r="A8" s="13"/>
      <c r="B8" s="13"/>
      <c r="C8" s="9"/>
      <c r="D8" s="9"/>
      <c r="E8" s="9"/>
      <c r="F8" s="9"/>
      <c r="G8" s="9"/>
      <c r="H8" s="8"/>
      <c r="I8" s="8"/>
    </row>
    <row r="9" spans="1:9">
      <c r="A9" s="13"/>
      <c r="B9" s="13"/>
      <c r="C9" s="9"/>
      <c r="D9" s="9"/>
      <c r="E9" s="9"/>
      <c r="F9" s="9"/>
      <c r="G9" s="9"/>
      <c r="H9" s="8"/>
      <c r="I9" s="8"/>
    </row>
    <row r="10" spans="1:9">
      <c r="A10" s="13"/>
      <c r="B10" s="13"/>
      <c r="C10" s="9"/>
      <c r="D10" s="9"/>
      <c r="E10" s="9"/>
      <c r="F10" s="9"/>
      <c r="G10" s="8"/>
      <c r="H10" s="8"/>
      <c r="I10" s="8"/>
    </row>
    <row r="11" spans="1:9">
      <c r="A11" s="13"/>
      <c r="B11" s="23"/>
      <c r="C11" s="9"/>
      <c r="D11" s="9"/>
      <c r="E11" s="9"/>
      <c r="F11" s="9"/>
      <c r="G11" s="8"/>
      <c r="H11" s="8"/>
      <c r="I11" s="8"/>
    </row>
    <row r="12" spans="1:9">
      <c r="A12" s="13"/>
      <c r="B12" s="13"/>
      <c r="C12" s="9"/>
      <c r="D12" s="9"/>
      <c r="E12" s="9"/>
      <c r="F12" s="9"/>
      <c r="G12" s="8"/>
      <c r="H12" s="8"/>
      <c r="I12" s="8"/>
    </row>
    <row r="13" spans="1:9">
      <c r="A13" s="13"/>
      <c r="B13" s="13"/>
      <c r="C13" s="9"/>
      <c r="D13" s="9"/>
      <c r="E13" s="9"/>
      <c r="F13" s="9"/>
      <c r="G13" s="8"/>
      <c r="H13" s="8"/>
      <c r="I13" s="8"/>
    </row>
    <row r="14" spans="1:9">
      <c r="A14" s="6"/>
      <c r="B14" s="6"/>
      <c r="C14" s="8"/>
      <c r="D14" s="8"/>
      <c r="E14" s="8"/>
      <c r="F14" s="8"/>
      <c r="G14" s="8"/>
      <c r="H14" s="8"/>
      <c r="I14" s="8"/>
    </row>
    <row r="15" spans="1:9">
      <c r="A15" s="6"/>
      <c r="B15" s="6"/>
      <c r="C15" s="8"/>
      <c r="D15" s="8"/>
      <c r="E15" s="8"/>
      <c r="F15" s="8"/>
      <c r="G15" s="8"/>
      <c r="H15" s="8"/>
      <c r="I15" s="8"/>
    </row>
    <row r="16" spans="1:9">
      <c r="A16" s="6"/>
      <c r="B16" s="6"/>
      <c r="C16" s="6"/>
      <c r="D16" s="6"/>
      <c r="E16" s="6"/>
      <c r="F16" s="6"/>
      <c r="G16" s="6"/>
      <c r="H16" s="6"/>
      <c r="I16" s="8"/>
    </row>
    <row r="17" spans="1:9">
      <c r="A17" s="6"/>
      <c r="B17" s="6"/>
      <c r="C17" s="6"/>
      <c r="D17" s="6"/>
      <c r="E17" s="6"/>
      <c r="F17" s="6"/>
      <c r="G17" s="6"/>
      <c r="H17" s="6"/>
      <c r="I17" s="8"/>
    </row>
    <row r="18" spans="1:9">
      <c r="A18" s="6"/>
      <c r="B18" s="6"/>
      <c r="C18" s="6"/>
      <c r="D18" s="6"/>
      <c r="E18" s="6"/>
      <c r="F18" s="6"/>
      <c r="G18" s="6"/>
      <c r="H18" s="6"/>
      <c r="I18" s="8"/>
    </row>
    <row r="19" spans="1:9">
      <c r="A19" t="s">
        <v>558</v>
      </c>
      <c r="C19" s="11">
        <f t="shared" ref="C19:I19" si="0">SUM(C3:C18)</f>
        <v>50000000</v>
      </c>
      <c r="D19" s="11">
        <f t="shared" si="0"/>
        <v>0</v>
      </c>
      <c r="E19" s="11">
        <f t="shared" si="0"/>
        <v>1500000</v>
      </c>
      <c r="F19" s="11">
        <f t="shared" si="0"/>
        <v>1250000</v>
      </c>
      <c r="G19" s="11">
        <f t="shared" si="0"/>
        <v>0</v>
      </c>
      <c r="H19" s="11">
        <f t="shared" si="0"/>
        <v>5000000</v>
      </c>
      <c r="I19" s="11">
        <f t="shared" si="0"/>
        <v>0</v>
      </c>
    </row>
  </sheetData>
  <mergeCells count="1">
    <mergeCell ref="A1:I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19"/>
  <sheetViews>
    <sheetView workbookViewId="0">
      <selection activeCell="J1" sqref="J1"/>
    </sheetView>
  </sheetViews>
  <sheetFormatPr defaultColWidth="9" defaultRowHeight="13.5"/>
  <cols>
    <col min="1" max="2" width="11.625" customWidth="1"/>
    <col min="3" max="3" width="18.375" customWidth="1"/>
    <col min="5" max="5" width="13.875" customWidth="1"/>
    <col min="6" max="6" width="16.125" customWidth="1"/>
    <col min="7" max="7" width="17.25" customWidth="1"/>
    <col min="8" max="8" width="11.875" customWidth="1"/>
  </cols>
  <sheetData>
    <row r="1" ht="18.75" spans="1:11">
      <c r="A1" s="2" t="s">
        <v>593</v>
      </c>
      <c r="B1" s="2"/>
      <c r="C1" s="2"/>
      <c r="D1" s="2"/>
      <c r="E1" s="2"/>
      <c r="F1" s="2"/>
      <c r="G1" s="2"/>
      <c r="H1" s="2"/>
      <c r="I1" s="2"/>
      <c r="J1" s="12" t="s">
        <v>544</v>
      </c>
      <c r="K1" s="12" t="s">
        <v>545</v>
      </c>
    </row>
    <row r="2" spans="1:9">
      <c r="A2" s="3" t="s">
        <v>2</v>
      </c>
      <c r="B2" s="3" t="s">
        <v>557</v>
      </c>
      <c r="C2" s="3" t="s">
        <v>6</v>
      </c>
      <c r="D2" s="3" t="s">
        <v>513</v>
      </c>
      <c r="E2" s="3" t="s">
        <v>515</v>
      </c>
      <c r="F2" s="3" t="s">
        <v>517</v>
      </c>
      <c r="G2" s="3" t="s">
        <v>519</v>
      </c>
      <c r="H2" s="4" t="s">
        <v>521</v>
      </c>
      <c r="I2" s="4" t="s">
        <v>522</v>
      </c>
    </row>
    <row r="3" spans="1:9">
      <c r="A3" s="13">
        <v>43032</v>
      </c>
      <c r="B3" s="13"/>
      <c r="C3" s="9">
        <v>47500000</v>
      </c>
      <c r="D3" s="9"/>
      <c r="E3" s="9"/>
      <c r="F3" s="9"/>
      <c r="G3" s="9"/>
      <c r="H3" s="8"/>
      <c r="I3" s="8"/>
    </row>
    <row r="4" spans="1:9">
      <c r="A4" s="13">
        <v>43039</v>
      </c>
      <c r="B4" s="13"/>
      <c r="C4" s="9">
        <v>20000000</v>
      </c>
      <c r="D4" s="9"/>
      <c r="E4" s="9"/>
      <c r="F4" s="9"/>
      <c r="G4" s="9"/>
      <c r="H4" s="8"/>
      <c r="I4" s="8"/>
    </row>
    <row r="5" spans="1:9">
      <c r="A5" s="13"/>
      <c r="B5" s="13">
        <v>43039</v>
      </c>
      <c r="C5" s="9"/>
      <c r="D5" s="9"/>
      <c r="E5" s="9">
        <v>189349.32</v>
      </c>
      <c r="F5" s="9">
        <v>2040616.44</v>
      </c>
      <c r="G5" s="9">
        <v>1433116.44</v>
      </c>
      <c r="H5" s="8"/>
      <c r="I5" s="8"/>
    </row>
    <row r="6" spans="1:9">
      <c r="A6" s="13">
        <v>43048</v>
      </c>
      <c r="B6" s="13"/>
      <c r="C6" s="9">
        <v>27500000</v>
      </c>
      <c r="D6" s="9"/>
      <c r="E6" s="9"/>
      <c r="F6" s="9">
        <v>825000</v>
      </c>
      <c r="G6" s="9">
        <f>550000+275000</f>
        <v>825000</v>
      </c>
      <c r="H6" s="8"/>
      <c r="I6" s="8"/>
    </row>
    <row r="7" spans="1:9">
      <c r="A7" s="13"/>
      <c r="B7" s="13"/>
      <c r="C7" s="9"/>
      <c r="D7" s="9"/>
      <c r="E7" s="9"/>
      <c r="F7" s="9"/>
      <c r="G7" s="9"/>
      <c r="H7" s="8"/>
      <c r="I7" s="8"/>
    </row>
    <row r="8" spans="1:9">
      <c r="A8" s="13"/>
      <c r="B8" s="13"/>
      <c r="C8" s="9"/>
      <c r="D8" s="9"/>
      <c r="E8" s="9"/>
      <c r="F8" s="9"/>
      <c r="G8" s="9"/>
      <c r="H8" s="8"/>
      <c r="I8" s="8"/>
    </row>
    <row r="9" spans="1:9">
      <c r="A9" s="13"/>
      <c r="B9" s="13"/>
      <c r="C9" s="9"/>
      <c r="D9" s="9"/>
      <c r="E9" s="9"/>
      <c r="F9" s="9"/>
      <c r="G9" s="9"/>
      <c r="H9" s="8"/>
      <c r="I9" s="8"/>
    </row>
    <row r="10" spans="1:9">
      <c r="A10" s="13"/>
      <c r="B10" s="13"/>
      <c r="C10" s="9"/>
      <c r="D10" s="9"/>
      <c r="E10" s="9"/>
      <c r="F10" s="9"/>
      <c r="G10" s="8"/>
      <c r="H10" s="8"/>
      <c r="I10" s="8"/>
    </row>
    <row r="11" spans="1:9">
      <c r="A11" s="13"/>
      <c r="B11" s="23"/>
      <c r="C11" s="9"/>
      <c r="D11" s="9"/>
      <c r="E11" s="9"/>
      <c r="F11" s="9"/>
      <c r="G11" s="8"/>
      <c r="H11" s="8"/>
      <c r="I11" s="8"/>
    </row>
    <row r="12" spans="1:9">
      <c r="A12" s="13"/>
      <c r="B12" s="13"/>
      <c r="C12" s="9"/>
      <c r="D12" s="9"/>
      <c r="E12" s="9"/>
      <c r="F12" s="9"/>
      <c r="G12" s="8"/>
      <c r="H12" s="8"/>
      <c r="I12" s="8"/>
    </row>
    <row r="13" spans="1:9">
      <c r="A13" s="13"/>
      <c r="B13" s="13"/>
      <c r="C13" s="9"/>
      <c r="D13" s="9"/>
      <c r="E13" s="9"/>
      <c r="F13" s="9"/>
      <c r="G13" s="8"/>
      <c r="H13" s="8"/>
      <c r="I13" s="8"/>
    </row>
    <row r="14" spans="1:9">
      <c r="A14" s="6"/>
      <c r="B14" s="6"/>
      <c r="C14" s="8"/>
      <c r="D14" s="8"/>
      <c r="E14" s="8"/>
      <c r="F14" s="8"/>
      <c r="G14" s="8"/>
      <c r="H14" s="8"/>
      <c r="I14" s="8"/>
    </row>
    <row r="15" spans="1:9">
      <c r="A15" s="6"/>
      <c r="B15" s="6"/>
      <c r="C15" s="8"/>
      <c r="D15" s="8"/>
      <c r="E15" s="8"/>
      <c r="F15" s="8"/>
      <c r="G15" s="8"/>
      <c r="H15" s="8"/>
      <c r="I15" s="8"/>
    </row>
    <row r="16" spans="1:9">
      <c r="A16" s="6"/>
      <c r="B16" s="6"/>
      <c r="C16" s="6"/>
      <c r="D16" s="6"/>
      <c r="E16" s="6"/>
      <c r="F16" s="6"/>
      <c r="G16" s="6"/>
      <c r="H16" s="6"/>
      <c r="I16" s="8"/>
    </row>
    <row r="17" spans="1:9">
      <c r="A17" s="6"/>
      <c r="B17" s="6"/>
      <c r="C17" s="6"/>
      <c r="D17" s="6"/>
      <c r="E17" s="6"/>
      <c r="F17" s="6"/>
      <c r="G17" s="6"/>
      <c r="H17" s="6"/>
      <c r="I17" s="8"/>
    </row>
    <row r="18" spans="1:9">
      <c r="A18" s="6"/>
      <c r="B18" s="6"/>
      <c r="C18" s="6"/>
      <c r="D18" s="6"/>
      <c r="E18" s="6"/>
      <c r="F18" s="6"/>
      <c r="G18" s="6"/>
      <c r="H18" s="6"/>
      <c r="I18" s="8"/>
    </row>
    <row r="19" spans="1:9">
      <c r="A19" t="s">
        <v>558</v>
      </c>
      <c r="C19" s="11">
        <f t="shared" ref="C19:I19" si="0">SUM(C3:C18)</f>
        <v>95000000</v>
      </c>
      <c r="D19" s="11">
        <f t="shared" si="0"/>
        <v>0</v>
      </c>
      <c r="E19" s="11">
        <f t="shared" si="0"/>
        <v>189349.32</v>
      </c>
      <c r="F19" s="11">
        <f t="shared" si="0"/>
        <v>2865616.44</v>
      </c>
      <c r="G19" s="11">
        <f t="shared" si="0"/>
        <v>2258116.44</v>
      </c>
      <c r="H19" s="11">
        <f t="shared" si="0"/>
        <v>0</v>
      </c>
      <c r="I19" s="11">
        <f t="shared" si="0"/>
        <v>0</v>
      </c>
    </row>
  </sheetData>
  <mergeCells count="1">
    <mergeCell ref="A1:I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19"/>
  <sheetViews>
    <sheetView workbookViewId="0">
      <selection activeCell="J1" sqref="J1"/>
    </sheetView>
  </sheetViews>
  <sheetFormatPr defaultColWidth="9" defaultRowHeight="13.5"/>
  <cols>
    <col min="1" max="2" width="11.625" customWidth="1"/>
    <col min="3" max="3" width="18.375" customWidth="1"/>
    <col min="4" max="4" width="13.875" customWidth="1"/>
    <col min="6" max="6" width="11.875" customWidth="1"/>
    <col min="7" max="7" width="17.25" customWidth="1"/>
    <col min="8" max="8" width="11.875" customWidth="1"/>
  </cols>
  <sheetData>
    <row r="1" ht="18.75" spans="1:11">
      <c r="A1" s="2" t="s">
        <v>594</v>
      </c>
      <c r="B1" s="2"/>
      <c r="C1" s="2"/>
      <c r="D1" s="2"/>
      <c r="E1" s="2"/>
      <c r="F1" s="2"/>
      <c r="G1" s="2"/>
      <c r="H1" s="2"/>
      <c r="I1" s="2"/>
      <c r="J1" s="12" t="s">
        <v>544</v>
      </c>
      <c r="K1" s="12" t="s">
        <v>545</v>
      </c>
    </row>
    <row r="2" spans="1:9">
      <c r="A2" s="3" t="s">
        <v>2</v>
      </c>
      <c r="B2" s="3" t="s">
        <v>557</v>
      </c>
      <c r="C2" s="3" t="s">
        <v>6</v>
      </c>
      <c r="D2" s="3" t="s">
        <v>513</v>
      </c>
      <c r="E2" s="3" t="s">
        <v>515</v>
      </c>
      <c r="F2" s="3" t="s">
        <v>517</v>
      </c>
      <c r="G2" s="3" t="s">
        <v>519</v>
      </c>
      <c r="H2" s="4" t="s">
        <v>521</v>
      </c>
      <c r="I2" s="4" t="s">
        <v>522</v>
      </c>
    </row>
    <row r="3" spans="1:9">
      <c r="A3" s="13">
        <v>43028</v>
      </c>
      <c r="B3" s="13"/>
      <c r="C3" s="9">
        <v>100000000</v>
      </c>
      <c r="D3" s="9"/>
      <c r="E3" s="9"/>
      <c r="F3" s="9"/>
      <c r="G3" s="9"/>
      <c r="H3" s="8"/>
      <c r="I3" s="8"/>
    </row>
    <row r="4" spans="1:9">
      <c r="A4" s="13"/>
      <c r="B4" s="13">
        <v>43028</v>
      </c>
      <c r="C4" s="9"/>
      <c r="D4" s="9"/>
      <c r="E4" s="9"/>
      <c r="F4" s="9"/>
      <c r="G4" s="9">
        <v>10000000</v>
      </c>
      <c r="H4" s="8"/>
      <c r="I4" s="8"/>
    </row>
    <row r="5" spans="1:9">
      <c r="A5" s="13"/>
      <c r="B5" s="13"/>
      <c r="C5" s="9"/>
      <c r="D5" s="9"/>
      <c r="E5" s="9"/>
      <c r="F5" s="9"/>
      <c r="G5" s="9"/>
      <c r="H5" s="8"/>
      <c r="I5" s="8"/>
    </row>
    <row r="6" spans="1:9">
      <c r="A6" s="13"/>
      <c r="B6" s="13"/>
      <c r="C6" s="9"/>
      <c r="D6" s="9"/>
      <c r="E6" s="9"/>
      <c r="F6" s="9"/>
      <c r="G6" s="9"/>
      <c r="H6" s="8"/>
      <c r="I6" s="8"/>
    </row>
    <row r="7" spans="1:9">
      <c r="A7" s="13"/>
      <c r="B7" s="13"/>
      <c r="C7" s="9"/>
      <c r="D7" s="9"/>
      <c r="E7" s="9"/>
      <c r="F7" s="9"/>
      <c r="G7" s="9"/>
      <c r="H7" s="8"/>
      <c r="I7" s="8"/>
    </row>
    <row r="8" spans="1:9">
      <c r="A8" s="13"/>
      <c r="B8" s="13"/>
      <c r="C8" s="9"/>
      <c r="D8" s="9"/>
      <c r="E8" s="9"/>
      <c r="F8" s="9"/>
      <c r="G8" s="9"/>
      <c r="H8" s="8"/>
      <c r="I8" s="8"/>
    </row>
    <row r="9" spans="1:9">
      <c r="A9" s="13"/>
      <c r="B9" s="13"/>
      <c r="C9" s="9"/>
      <c r="D9" s="9"/>
      <c r="E9" s="9"/>
      <c r="F9" s="9"/>
      <c r="G9" s="9"/>
      <c r="H9" s="8"/>
      <c r="I9" s="8"/>
    </row>
    <row r="10" spans="1:9">
      <c r="A10" s="13"/>
      <c r="B10" s="13"/>
      <c r="C10" s="9"/>
      <c r="D10" s="9"/>
      <c r="E10" s="9"/>
      <c r="F10" s="9"/>
      <c r="G10" s="8"/>
      <c r="H10" s="8"/>
      <c r="I10" s="8"/>
    </row>
    <row r="11" spans="1:9">
      <c r="A11" s="13"/>
      <c r="B11" s="23"/>
      <c r="C11" s="9"/>
      <c r="D11" s="9"/>
      <c r="E11" s="9"/>
      <c r="F11" s="9"/>
      <c r="G11" s="8"/>
      <c r="H11" s="8"/>
      <c r="I11" s="8"/>
    </row>
    <row r="12" spans="1:9">
      <c r="A12" s="13"/>
      <c r="B12" s="13"/>
      <c r="C12" s="9"/>
      <c r="D12" s="9"/>
      <c r="E12" s="9"/>
      <c r="F12" s="9"/>
      <c r="G12" s="8"/>
      <c r="H12" s="8"/>
      <c r="I12" s="8"/>
    </row>
    <row r="13" spans="1:9">
      <c r="A13" s="13"/>
      <c r="B13" s="13"/>
      <c r="C13" s="9"/>
      <c r="D13" s="9"/>
      <c r="E13" s="9"/>
      <c r="F13" s="9"/>
      <c r="G13" s="8"/>
      <c r="H13" s="8"/>
      <c r="I13" s="8"/>
    </row>
    <row r="14" spans="1:9">
      <c r="A14" s="6"/>
      <c r="B14" s="6"/>
      <c r="C14" s="8"/>
      <c r="D14" s="8"/>
      <c r="E14" s="8"/>
      <c r="F14" s="8"/>
      <c r="G14" s="8"/>
      <c r="H14" s="8"/>
      <c r="I14" s="8"/>
    </row>
    <row r="15" spans="1:9">
      <c r="A15" s="6"/>
      <c r="B15" s="6"/>
      <c r="C15" s="8"/>
      <c r="D15" s="8"/>
      <c r="E15" s="8"/>
      <c r="F15" s="8"/>
      <c r="G15" s="8"/>
      <c r="H15" s="8"/>
      <c r="I15" s="8"/>
    </row>
    <row r="16" spans="1:9">
      <c r="A16" s="6"/>
      <c r="B16" s="6"/>
      <c r="C16" s="6"/>
      <c r="D16" s="6"/>
      <c r="E16" s="6"/>
      <c r="F16" s="6"/>
      <c r="G16" s="6"/>
      <c r="H16" s="6"/>
      <c r="I16" s="8"/>
    </row>
    <row r="17" spans="1:9">
      <c r="A17" s="6"/>
      <c r="B17" s="6"/>
      <c r="C17" s="6"/>
      <c r="D17" s="6"/>
      <c r="E17" s="6"/>
      <c r="F17" s="6"/>
      <c r="G17" s="6"/>
      <c r="H17" s="6"/>
      <c r="I17" s="8"/>
    </row>
    <row r="18" spans="1:9">
      <c r="A18" s="6"/>
      <c r="B18" s="6"/>
      <c r="C18" s="6"/>
      <c r="D18" s="6"/>
      <c r="E18" s="6"/>
      <c r="F18" s="6"/>
      <c r="G18" s="6"/>
      <c r="H18" s="6"/>
      <c r="I18" s="8"/>
    </row>
    <row r="19" spans="1:9">
      <c r="A19" t="s">
        <v>558</v>
      </c>
      <c r="C19" s="11">
        <f t="shared" ref="C19:I19" si="0">SUM(C3:C18)</f>
        <v>100000000</v>
      </c>
      <c r="D19" s="11">
        <f t="shared" si="0"/>
        <v>0</v>
      </c>
      <c r="E19" s="11">
        <f t="shared" si="0"/>
        <v>0</v>
      </c>
      <c r="F19" s="11">
        <f t="shared" si="0"/>
        <v>0</v>
      </c>
      <c r="G19" s="11">
        <f t="shared" si="0"/>
        <v>10000000</v>
      </c>
      <c r="H19" s="11">
        <f t="shared" si="0"/>
        <v>0</v>
      </c>
      <c r="I19" s="11">
        <f t="shared" si="0"/>
        <v>0</v>
      </c>
    </row>
  </sheetData>
  <mergeCells count="1">
    <mergeCell ref="A1:I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19"/>
  <sheetViews>
    <sheetView workbookViewId="0">
      <selection activeCell="J1" sqref="J1"/>
    </sheetView>
  </sheetViews>
  <sheetFormatPr defaultColWidth="9" defaultRowHeight="13.5"/>
  <cols>
    <col min="1" max="1" width="10.5" customWidth="1"/>
    <col min="2" max="2" width="11.625" customWidth="1"/>
    <col min="3" max="4" width="17.25" customWidth="1"/>
    <col min="5" max="5" width="13.875" customWidth="1"/>
    <col min="6" max="6" width="11.875" customWidth="1"/>
    <col min="7" max="7" width="13.875" customWidth="1"/>
    <col min="8" max="8" width="11.875" customWidth="1"/>
  </cols>
  <sheetData>
    <row r="1" ht="18.75" spans="1:11">
      <c r="A1" s="2" t="s">
        <v>595</v>
      </c>
      <c r="B1" s="2"/>
      <c r="C1" s="2"/>
      <c r="D1" s="2"/>
      <c r="E1" s="2"/>
      <c r="F1" s="2"/>
      <c r="G1" s="2"/>
      <c r="H1" s="2"/>
      <c r="I1" s="2"/>
      <c r="J1" s="12" t="s">
        <v>544</v>
      </c>
      <c r="K1" s="12" t="s">
        <v>545</v>
      </c>
    </row>
    <row r="2" spans="1:9">
      <c r="A2" s="3" t="s">
        <v>2</v>
      </c>
      <c r="B2" s="3" t="s">
        <v>557</v>
      </c>
      <c r="C2" s="3" t="s">
        <v>6</v>
      </c>
      <c r="D2" s="3" t="s">
        <v>513</v>
      </c>
      <c r="E2" s="3" t="s">
        <v>515</v>
      </c>
      <c r="F2" s="3" t="s">
        <v>517</v>
      </c>
      <c r="G2" s="3" t="s">
        <v>519</v>
      </c>
      <c r="H2" s="4" t="s">
        <v>521</v>
      </c>
      <c r="I2" s="4" t="s">
        <v>522</v>
      </c>
    </row>
    <row r="3" spans="1:9">
      <c r="A3" s="13">
        <v>42965</v>
      </c>
      <c r="B3" s="13"/>
      <c r="C3" s="9">
        <v>20000000</v>
      </c>
      <c r="D3" s="9"/>
      <c r="E3" s="9"/>
      <c r="F3" s="9"/>
      <c r="G3" s="9"/>
      <c r="H3" s="8"/>
      <c r="I3" s="8"/>
    </row>
    <row r="4" spans="1:9">
      <c r="A4" s="13"/>
      <c r="B4" s="13">
        <v>42986</v>
      </c>
      <c r="C4" s="9"/>
      <c r="D4" s="9"/>
      <c r="E4" s="9">
        <v>266700</v>
      </c>
      <c r="F4" s="9"/>
      <c r="G4" s="9"/>
      <c r="H4" s="8"/>
      <c r="I4" s="8"/>
    </row>
    <row r="5" spans="1:9">
      <c r="A5" s="13"/>
      <c r="B5" s="13">
        <v>43021</v>
      </c>
      <c r="C5" s="9"/>
      <c r="D5" s="9">
        <v>10000000</v>
      </c>
      <c r="E5" s="9"/>
      <c r="F5" s="9"/>
      <c r="G5" s="9"/>
      <c r="H5" s="8"/>
      <c r="I5" s="8"/>
    </row>
    <row r="6" spans="1:9">
      <c r="A6" s="13"/>
      <c r="B6" s="13">
        <v>43056</v>
      </c>
      <c r="C6" s="9"/>
      <c r="D6" s="9">
        <v>10000000</v>
      </c>
      <c r="E6" s="9"/>
      <c r="F6" s="9"/>
      <c r="G6" s="9"/>
      <c r="H6" s="8"/>
      <c r="I6" s="8"/>
    </row>
    <row r="7" spans="1:9">
      <c r="A7" s="13"/>
      <c r="B7" s="13">
        <v>43075</v>
      </c>
      <c r="C7" s="9"/>
      <c r="D7" s="9"/>
      <c r="E7" s="9">
        <v>540000</v>
      </c>
      <c r="F7" s="9"/>
      <c r="G7" s="9"/>
      <c r="H7" s="8"/>
      <c r="I7" s="8"/>
    </row>
    <row r="8" spans="1:9">
      <c r="A8" s="13"/>
      <c r="B8" s="13"/>
      <c r="C8" s="9"/>
      <c r="D8" s="9"/>
      <c r="E8" s="9"/>
      <c r="F8" s="9"/>
      <c r="G8" s="9"/>
      <c r="H8" s="8"/>
      <c r="I8" s="8"/>
    </row>
    <row r="9" spans="1:9">
      <c r="A9" s="13"/>
      <c r="B9" s="13"/>
      <c r="C9" s="9"/>
      <c r="D9" s="9"/>
      <c r="E9" s="9"/>
      <c r="F9" s="9"/>
      <c r="G9" s="9"/>
      <c r="H9" s="8"/>
      <c r="I9" s="8"/>
    </row>
    <row r="10" spans="1:9">
      <c r="A10" s="13"/>
      <c r="B10" s="13"/>
      <c r="C10" s="9"/>
      <c r="D10" s="9"/>
      <c r="E10" s="9"/>
      <c r="F10" s="9"/>
      <c r="G10" s="8"/>
      <c r="H10" s="8"/>
      <c r="I10" s="8"/>
    </row>
    <row r="11" spans="1:9">
      <c r="A11" s="13"/>
      <c r="B11" s="23"/>
      <c r="C11" s="9"/>
      <c r="D11" s="9"/>
      <c r="E11" s="9"/>
      <c r="F11" s="9"/>
      <c r="G11" s="8"/>
      <c r="H11" s="8"/>
      <c r="I11" s="8"/>
    </row>
    <row r="12" spans="1:9">
      <c r="A12" s="13"/>
      <c r="B12" s="13"/>
      <c r="C12" s="9"/>
      <c r="D12" s="9"/>
      <c r="E12" s="9"/>
      <c r="F12" s="9"/>
      <c r="G12" s="8"/>
      <c r="H12" s="8"/>
      <c r="I12" s="8"/>
    </row>
    <row r="13" spans="1:9">
      <c r="A13" s="13"/>
      <c r="B13" s="13"/>
      <c r="C13" s="9"/>
      <c r="D13" s="9"/>
      <c r="E13" s="9"/>
      <c r="F13" s="9"/>
      <c r="G13" s="8"/>
      <c r="H13" s="8"/>
      <c r="I13" s="8"/>
    </row>
    <row r="14" spans="1:9">
      <c r="A14" s="6"/>
      <c r="B14" s="6"/>
      <c r="C14" s="8"/>
      <c r="D14" s="8"/>
      <c r="E14" s="8"/>
      <c r="F14" s="8"/>
      <c r="G14" s="8"/>
      <c r="H14" s="8"/>
      <c r="I14" s="8"/>
    </row>
    <row r="15" spans="1:9">
      <c r="A15" s="6"/>
      <c r="B15" s="6"/>
      <c r="C15" s="8"/>
      <c r="D15" s="8"/>
      <c r="E15" s="8"/>
      <c r="F15" s="8"/>
      <c r="G15" s="8"/>
      <c r="H15" s="8"/>
      <c r="I15" s="8"/>
    </row>
    <row r="16" spans="1:9">
      <c r="A16" s="6"/>
      <c r="B16" s="6"/>
      <c r="C16" s="6"/>
      <c r="D16" s="6"/>
      <c r="E16" s="6"/>
      <c r="F16" s="6"/>
      <c r="G16" s="6"/>
      <c r="H16" s="6"/>
      <c r="I16" s="8"/>
    </row>
    <row r="17" spans="1:9">
      <c r="A17" s="6"/>
      <c r="B17" s="6"/>
      <c r="C17" s="6"/>
      <c r="D17" s="6"/>
      <c r="E17" s="6"/>
      <c r="F17" s="6"/>
      <c r="G17" s="6"/>
      <c r="H17" s="6"/>
      <c r="I17" s="8"/>
    </row>
    <row r="18" spans="1:9">
      <c r="A18" s="6"/>
      <c r="B18" s="6"/>
      <c r="C18" s="6"/>
      <c r="D18" s="6"/>
      <c r="E18" s="6"/>
      <c r="F18" s="6"/>
      <c r="G18" s="6"/>
      <c r="H18" s="6"/>
      <c r="I18" s="8"/>
    </row>
    <row r="19" spans="1:9">
      <c r="A19" t="s">
        <v>558</v>
      </c>
      <c r="C19" s="11">
        <f t="shared" ref="C19:I19" si="0">SUM(C3:C18)</f>
        <v>20000000</v>
      </c>
      <c r="D19" s="11">
        <f t="shared" si="0"/>
        <v>20000000</v>
      </c>
      <c r="E19" s="11">
        <f t="shared" si="0"/>
        <v>806700</v>
      </c>
      <c r="F19" s="11">
        <f t="shared" si="0"/>
        <v>0</v>
      </c>
      <c r="G19" s="11">
        <f t="shared" si="0"/>
        <v>0</v>
      </c>
      <c r="H19" s="11">
        <f t="shared" si="0"/>
        <v>0</v>
      </c>
      <c r="I19" s="11">
        <f t="shared" si="0"/>
        <v>0</v>
      </c>
    </row>
  </sheetData>
  <mergeCells count="1">
    <mergeCell ref="A1:I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19"/>
  <sheetViews>
    <sheetView workbookViewId="0">
      <selection activeCell="A1" sqref="A1:I1"/>
    </sheetView>
  </sheetViews>
  <sheetFormatPr defaultColWidth="9" defaultRowHeight="13.5"/>
  <cols>
    <col min="1" max="1" width="10.5" customWidth="1"/>
    <col min="2" max="2" width="11.625" customWidth="1"/>
    <col min="3" max="3" width="17.25" customWidth="1"/>
    <col min="5" max="6" width="16.125" customWidth="1"/>
    <col min="7" max="8" width="11.875" customWidth="1"/>
  </cols>
  <sheetData>
    <row r="1" ht="18.75" spans="1:11">
      <c r="A1" s="2" t="s">
        <v>596</v>
      </c>
      <c r="B1" s="2"/>
      <c r="C1" s="2"/>
      <c r="D1" s="2"/>
      <c r="E1" s="2"/>
      <c r="F1" s="2"/>
      <c r="G1" s="2"/>
      <c r="H1" s="2"/>
      <c r="I1" s="2"/>
      <c r="J1" s="12" t="s">
        <v>544</v>
      </c>
      <c r="K1" s="12" t="s">
        <v>545</v>
      </c>
    </row>
    <row r="2" spans="1:9">
      <c r="A2" s="3" t="s">
        <v>2</v>
      </c>
      <c r="B2" s="3" t="s">
        <v>557</v>
      </c>
      <c r="C2" s="3" t="s">
        <v>6</v>
      </c>
      <c r="D2" s="3" t="s">
        <v>513</v>
      </c>
      <c r="E2" s="3" t="s">
        <v>515</v>
      </c>
      <c r="F2" s="3" t="s">
        <v>517</v>
      </c>
      <c r="G2" s="3" t="s">
        <v>519</v>
      </c>
      <c r="H2" s="4" t="s">
        <v>521</v>
      </c>
      <c r="I2" s="4" t="s">
        <v>522</v>
      </c>
    </row>
    <row r="3" spans="1:9">
      <c r="A3" s="13">
        <v>42956</v>
      </c>
      <c r="B3" s="13"/>
      <c r="C3" s="9">
        <v>20000000</v>
      </c>
      <c r="D3" s="9"/>
      <c r="E3" s="9"/>
      <c r="F3" s="9"/>
      <c r="G3" s="9"/>
      <c r="H3" s="8"/>
      <c r="I3" s="8"/>
    </row>
    <row r="4" spans="1:9">
      <c r="A4" s="13">
        <v>42971</v>
      </c>
      <c r="B4" s="13"/>
      <c r="C4" s="9">
        <v>15000000</v>
      </c>
      <c r="D4" s="9"/>
      <c r="E4" s="9"/>
      <c r="F4" s="9"/>
      <c r="G4" s="9"/>
      <c r="H4" s="8"/>
      <c r="I4" s="8"/>
    </row>
    <row r="5" spans="1:9">
      <c r="A5" s="13"/>
      <c r="B5" s="13">
        <v>42971</v>
      </c>
      <c r="C5" s="9"/>
      <c r="D5" s="9"/>
      <c r="E5" s="9">
        <v>787500</v>
      </c>
      <c r="F5" s="9">
        <v>1925000</v>
      </c>
      <c r="G5" s="9"/>
      <c r="H5" s="8"/>
      <c r="I5" s="8"/>
    </row>
    <row r="6" spans="1:9">
      <c r="A6" s="13">
        <v>42978</v>
      </c>
      <c r="B6" s="13"/>
      <c r="C6" s="9">
        <v>15000000</v>
      </c>
      <c r="D6" s="9"/>
      <c r="E6" s="9"/>
      <c r="F6" s="9"/>
      <c r="G6" s="9"/>
      <c r="H6" s="8"/>
      <c r="I6" s="8"/>
    </row>
    <row r="7" spans="1:9">
      <c r="A7" s="13"/>
      <c r="B7" s="13">
        <v>42978</v>
      </c>
      <c r="C7" s="9"/>
      <c r="D7" s="9"/>
      <c r="E7" s="9">
        <v>337500</v>
      </c>
      <c r="F7" s="9">
        <v>825000</v>
      </c>
      <c r="G7" s="9"/>
      <c r="H7" s="8"/>
      <c r="I7" s="8"/>
    </row>
    <row r="8" spans="1:9">
      <c r="A8" s="13"/>
      <c r="B8" s="13">
        <v>43049</v>
      </c>
      <c r="C8" s="9"/>
      <c r="D8" s="9"/>
      <c r="E8" s="9">
        <v>450000</v>
      </c>
      <c r="F8" s="9"/>
      <c r="G8" s="9"/>
      <c r="H8" s="8"/>
      <c r="I8" s="8"/>
    </row>
    <row r="9" spans="1:9">
      <c r="A9" s="13"/>
      <c r="B9" s="13">
        <v>43059</v>
      </c>
      <c r="C9" s="9"/>
      <c r="D9" s="9"/>
      <c r="E9" s="9">
        <v>675000</v>
      </c>
      <c r="F9" s="9"/>
      <c r="G9" s="9"/>
      <c r="H9" s="8"/>
      <c r="I9" s="8"/>
    </row>
    <row r="10" spans="1:9">
      <c r="A10" s="13"/>
      <c r="B10" s="13"/>
      <c r="C10" s="9"/>
      <c r="D10" s="9"/>
      <c r="E10" s="9"/>
      <c r="F10" s="9"/>
      <c r="G10" s="8"/>
      <c r="H10" s="8"/>
      <c r="I10" s="8"/>
    </row>
    <row r="11" spans="1:9">
      <c r="A11" s="13"/>
      <c r="B11" s="23"/>
      <c r="C11" s="9"/>
      <c r="D11" s="9"/>
      <c r="E11" s="9"/>
      <c r="F11" s="9"/>
      <c r="G11" s="8"/>
      <c r="H11" s="8"/>
      <c r="I11" s="8"/>
    </row>
    <row r="12" spans="1:9">
      <c r="A12" s="13"/>
      <c r="B12" s="13"/>
      <c r="C12" s="9"/>
      <c r="D12" s="9"/>
      <c r="E12" s="9"/>
      <c r="F12" s="9"/>
      <c r="G12" s="8"/>
      <c r="H12" s="8"/>
      <c r="I12" s="8"/>
    </row>
    <row r="13" spans="1:9">
      <c r="A13" s="13"/>
      <c r="B13" s="13"/>
      <c r="C13" s="9"/>
      <c r="D13" s="9"/>
      <c r="E13" s="9"/>
      <c r="F13" s="9"/>
      <c r="G13" s="8"/>
      <c r="H13" s="8"/>
      <c r="I13" s="8"/>
    </row>
    <row r="14" spans="1:9">
      <c r="A14" s="6"/>
      <c r="B14" s="6"/>
      <c r="C14" s="8"/>
      <c r="D14" s="8"/>
      <c r="E14" s="8"/>
      <c r="F14" s="8"/>
      <c r="G14" s="8"/>
      <c r="H14" s="8"/>
      <c r="I14" s="8"/>
    </row>
    <row r="15" spans="1:9">
      <c r="A15" s="6"/>
      <c r="B15" s="6"/>
      <c r="C15" s="8"/>
      <c r="D15" s="8"/>
      <c r="E15" s="8"/>
      <c r="F15" s="8"/>
      <c r="G15" s="8"/>
      <c r="H15" s="8"/>
      <c r="I15" s="8"/>
    </row>
    <row r="16" spans="1:9">
      <c r="A16" s="6"/>
      <c r="B16" s="6"/>
      <c r="C16" s="6"/>
      <c r="D16" s="6"/>
      <c r="E16" s="6"/>
      <c r="F16" s="6"/>
      <c r="G16" s="6"/>
      <c r="H16" s="6"/>
      <c r="I16" s="8"/>
    </row>
    <row r="17" spans="1:9">
      <c r="A17" s="6"/>
      <c r="B17" s="6"/>
      <c r="C17" s="6"/>
      <c r="D17" s="6"/>
      <c r="E17" s="6"/>
      <c r="F17" s="6"/>
      <c r="G17" s="6"/>
      <c r="H17" s="6"/>
      <c r="I17" s="8"/>
    </row>
    <row r="18" spans="1:9">
      <c r="A18" s="6"/>
      <c r="B18" s="6"/>
      <c r="C18" s="6"/>
      <c r="D18" s="6"/>
      <c r="E18" s="6"/>
      <c r="F18" s="6"/>
      <c r="G18" s="6"/>
      <c r="H18" s="6"/>
      <c r="I18" s="8"/>
    </row>
    <row r="19" spans="1:9">
      <c r="A19" t="s">
        <v>558</v>
      </c>
      <c r="C19" s="11">
        <f t="shared" ref="C19:I19" si="0">SUM(C3:C18)</f>
        <v>50000000</v>
      </c>
      <c r="D19" s="11">
        <f t="shared" si="0"/>
        <v>0</v>
      </c>
      <c r="E19" s="11">
        <f t="shared" si="0"/>
        <v>2250000</v>
      </c>
      <c r="F19" s="11">
        <f t="shared" si="0"/>
        <v>2750000</v>
      </c>
      <c r="G19" s="11">
        <f t="shared" si="0"/>
        <v>0</v>
      </c>
      <c r="H19" s="11">
        <f t="shared" si="0"/>
        <v>0</v>
      </c>
      <c r="I19" s="11">
        <f t="shared" si="0"/>
        <v>0</v>
      </c>
    </row>
  </sheetData>
  <mergeCells count="1">
    <mergeCell ref="A1:I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19"/>
  <sheetViews>
    <sheetView workbookViewId="0">
      <selection activeCell="G27" sqref="G27"/>
    </sheetView>
  </sheetViews>
  <sheetFormatPr defaultColWidth="9" defaultRowHeight="13.5"/>
  <cols>
    <col min="1" max="1" width="10.5" customWidth="1"/>
    <col min="2" max="2" width="11.625" customWidth="1"/>
    <col min="3" max="3" width="17.25" customWidth="1"/>
    <col min="5" max="6" width="16.125" customWidth="1"/>
    <col min="7" max="8" width="11.875" customWidth="1"/>
  </cols>
  <sheetData>
    <row r="1" ht="18.75" spans="1:11">
      <c r="A1" s="1" t="s">
        <v>597</v>
      </c>
      <c r="B1" s="1"/>
      <c r="C1" s="1"/>
      <c r="D1" s="1"/>
      <c r="E1" s="1"/>
      <c r="F1" s="1"/>
      <c r="G1" s="1"/>
      <c r="H1" s="2"/>
      <c r="J1" s="12" t="s">
        <v>544</v>
      </c>
      <c r="K1" s="12" t="s">
        <v>545</v>
      </c>
    </row>
    <row r="2" spans="1:9">
      <c r="A2" s="3" t="s">
        <v>2</v>
      </c>
      <c r="B2" s="3" t="s">
        <v>557</v>
      </c>
      <c r="C2" s="3" t="s">
        <v>6</v>
      </c>
      <c r="D2" s="3" t="s">
        <v>513</v>
      </c>
      <c r="E2" s="3" t="s">
        <v>515</v>
      </c>
      <c r="F2" s="3" t="s">
        <v>517</v>
      </c>
      <c r="G2" s="3" t="s">
        <v>519</v>
      </c>
      <c r="H2" s="4" t="s">
        <v>521</v>
      </c>
      <c r="I2" s="4" t="s">
        <v>522</v>
      </c>
    </row>
    <row r="3" spans="1:9">
      <c r="A3" s="13">
        <v>42943</v>
      </c>
      <c r="B3" s="13"/>
      <c r="C3" s="9">
        <v>20000000</v>
      </c>
      <c r="D3" s="9"/>
      <c r="E3" s="9"/>
      <c r="F3" s="9"/>
      <c r="G3" s="9"/>
      <c r="H3" s="8"/>
      <c r="I3" s="8"/>
    </row>
    <row r="4" spans="1:9">
      <c r="A4" s="13">
        <v>42944</v>
      </c>
      <c r="B4" s="13"/>
      <c r="C4" s="9">
        <v>30000000</v>
      </c>
      <c r="D4" s="9"/>
      <c r="E4" s="9"/>
      <c r="F4" s="9"/>
      <c r="G4" s="9"/>
      <c r="H4" s="8"/>
      <c r="I4" s="8"/>
    </row>
    <row r="5" spans="1:9">
      <c r="A5" s="13"/>
      <c r="B5" s="13">
        <v>42944</v>
      </c>
      <c r="C5" s="9"/>
      <c r="D5" s="9"/>
      <c r="E5" s="9">
        <v>1125000</v>
      </c>
      <c r="F5" s="9">
        <v>2750000</v>
      </c>
      <c r="G5" s="9"/>
      <c r="H5" s="8"/>
      <c r="I5" s="8"/>
    </row>
    <row r="6" spans="1:9">
      <c r="A6" s="13"/>
      <c r="B6" s="13">
        <v>43028</v>
      </c>
      <c r="C6" s="9"/>
      <c r="D6" s="9"/>
      <c r="E6" s="9">
        <v>1125000</v>
      </c>
      <c r="F6" s="9"/>
      <c r="G6" s="9"/>
      <c r="H6" s="8"/>
      <c r="I6" s="8"/>
    </row>
    <row r="7" spans="1:9">
      <c r="A7" s="13"/>
      <c r="B7" s="13"/>
      <c r="C7" s="9"/>
      <c r="D7" s="9"/>
      <c r="E7" s="9"/>
      <c r="F7" s="9"/>
      <c r="G7" s="9"/>
      <c r="H7" s="8"/>
      <c r="I7" s="8"/>
    </row>
    <row r="8" spans="1:9">
      <c r="A8" s="13"/>
      <c r="B8" s="13"/>
      <c r="C8" s="9"/>
      <c r="D8" s="9"/>
      <c r="E8" s="9"/>
      <c r="F8" s="9"/>
      <c r="G8" s="9"/>
      <c r="H8" s="8"/>
      <c r="I8" s="8"/>
    </row>
    <row r="9" spans="1:9">
      <c r="A9" s="13"/>
      <c r="B9" s="13"/>
      <c r="C9" s="9"/>
      <c r="D9" s="9"/>
      <c r="E9" s="9"/>
      <c r="F9" s="9"/>
      <c r="G9" s="9"/>
      <c r="H9" s="8"/>
      <c r="I9" s="8"/>
    </row>
    <row r="10" spans="1:9">
      <c r="A10" s="13"/>
      <c r="B10" s="13"/>
      <c r="C10" s="9"/>
      <c r="D10" s="9"/>
      <c r="E10" s="9"/>
      <c r="F10" s="9"/>
      <c r="G10" s="8"/>
      <c r="H10" s="8"/>
      <c r="I10" s="8"/>
    </row>
    <row r="11" spans="1:9">
      <c r="A11" s="13"/>
      <c r="B11" s="23"/>
      <c r="C11" s="9"/>
      <c r="D11" s="9"/>
      <c r="E11" s="9"/>
      <c r="F11" s="9"/>
      <c r="G11" s="8"/>
      <c r="H11" s="8"/>
      <c r="I11" s="8"/>
    </row>
    <row r="12" spans="1:9">
      <c r="A12" s="13"/>
      <c r="B12" s="13"/>
      <c r="C12" s="9"/>
      <c r="D12" s="9"/>
      <c r="E12" s="9"/>
      <c r="F12" s="9"/>
      <c r="G12" s="8"/>
      <c r="H12" s="8"/>
      <c r="I12" s="8"/>
    </row>
    <row r="13" spans="1:9">
      <c r="A13" s="13"/>
      <c r="B13" s="13"/>
      <c r="C13" s="9"/>
      <c r="D13" s="9"/>
      <c r="E13" s="9"/>
      <c r="F13" s="9"/>
      <c r="G13" s="8"/>
      <c r="H13" s="8"/>
      <c r="I13" s="8"/>
    </row>
    <row r="14" spans="1:9">
      <c r="A14" s="6"/>
      <c r="B14" s="6"/>
      <c r="C14" s="8"/>
      <c r="D14" s="8"/>
      <c r="E14" s="8"/>
      <c r="F14" s="8"/>
      <c r="G14" s="8"/>
      <c r="H14" s="8"/>
      <c r="I14" s="8"/>
    </row>
    <row r="15" spans="1:9">
      <c r="A15" s="6"/>
      <c r="B15" s="6"/>
      <c r="C15" s="8"/>
      <c r="D15" s="8"/>
      <c r="E15" s="8"/>
      <c r="F15" s="8"/>
      <c r="G15" s="8"/>
      <c r="H15" s="8"/>
      <c r="I15" s="8"/>
    </row>
    <row r="16" spans="1:9">
      <c r="A16" s="6"/>
      <c r="B16" s="6"/>
      <c r="C16" s="6"/>
      <c r="D16" s="6"/>
      <c r="E16" s="6"/>
      <c r="F16" s="6"/>
      <c r="G16" s="6"/>
      <c r="H16" s="6"/>
      <c r="I16" s="8"/>
    </row>
    <row r="17" spans="1:9">
      <c r="A17" s="6"/>
      <c r="B17" s="6"/>
      <c r="C17" s="6"/>
      <c r="D17" s="6"/>
      <c r="E17" s="6"/>
      <c r="F17" s="6"/>
      <c r="G17" s="6"/>
      <c r="H17" s="6"/>
      <c r="I17" s="8"/>
    </row>
    <row r="18" spans="1:9">
      <c r="A18" s="6"/>
      <c r="B18" s="6"/>
      <c r="C18" s="6"/>
      <c r="D18" s="6"/>
      <c r="E18" s="6"/>
      <c r="F18" s="6"/>
      <c r="G18" s="6"/>
      <c r="H18" s="6"/>
      <c r="I18" s="8"/>
    </row>
    <row r="19" spans="1:9">
      <c r="A19" t="s">
        <v>558</v>
      </c>
      <c r="C19" s="11">
        <f t="shared" ref="C19:I19" si="0">SUM(C3:C18)</f>
        <v>50000000</v>
      </c>
      <c r="D19" s="11">
        <f t="shared" si="0"/>
        <v>0</v>
      </c>
      <c r="E19" s="11">
        <f t="shared" si="0"/>
        <v>2250000</v>
      </c>
      <c r="F19" s="11">
        <f t="shared" si="0"/>
        <v>2750000</v>
      </c>
      <c r="G19" s="11">
        <f t="shared" si="0"/>
        <v>0</v>
      </c>
      <c r="H19" s="11">
        <f t="shared" si="0"/>
        <v>0</v>
      </c>
      <c r="I19" s="11">
        <f t="shared" si="0"/>
        <v>0</v>
      </c>
    </row>
  </sheetData>
  <mergeCells count="1">
    <mergeCell ref="A1:G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19"/>
  <sheetViews>
    <sheetView workbookViewId="0">
      <selection activeCell="J1" sqref="J1"/>
    </sheetView>
  </sheetViews>
  <sheetFormatPr defaultColWidth="9" defaultRowHeight="13.5"/>
  <cols>
    <col min="1" max="1" width="10.5" customWidth="1"/>
    <col min="2" max="2" width="11.625" customWidth="1"/>
    <col min="3" max="4" width="17.25" customWidth="1"/>
    <col min="5" max="6" width="16.125" customWidth="1"/>
    <col min="7" max="8" width="11.875" customWidth="1"/>
  </cols>
  <sheetData>
    <row r="1" ht="18.75" spans="1:11">
      <c r="A1" s="1" t="s">
        <v>598</v>
      </c>
      <c r="B1" s="1"/>
      <c r="C1" s="1"/>
      <c r="D1" s="1"/>
      <c r="E1" s="1"/>
      <c r="F1" s="1"/>
      <c r="G1" s="1"/>
      <c r="H1" s="2"/>
      <c r="J1" s="12" t="s">
        <v>544</v>
      </c>
      <c r="K1" s="12" t="s">
        <v>545</v>
      </c>
    </row>
    <row r="2" spans="1:9">
      <c r="A2" s="3" t="s">
        <v>2</v>
      </c>
      <c r="B2" s="3" t="s">
        <v>557</v>
      </c>
      <c r="C2" s="3" t="s">
        <v>6</v>
      </c>
      <c r="D2" s="3" t="s">
        <v>513</v>
      </c>
      <c r="E2" s="3" t="s">
        <v>515</v>
      </c>
      <c r="F2" s="3" t="s">
        <v>517</v>
      </c>
      <c r="G2" s="3" t="s">
        <v>519</v>
      </c>
      <c r="H2" s="4" t="s">
        <v>521</v>
      </c>
      <c r="I2" s="4" t="s">
        <v>522</v>
      </c>
    </row>
    <row r="3" spans="1:9">
      <c r="A3" s="13">
        <v>42912</v>
      </c>
      <c r="B3" s="13"/>
      <c r="C3" s="9">
        <v>20000000</v>
      </c>
      <c r="D3" s="9"/>
      <c r="E3" s="9"/>
      <c r="F3" s="9"/>
      <c r="G3" s="9"/>
      <c r="H3" s="8"/>
      <c r="I3" s="8"/>
    </row>
    <row r="4" spans="1:9">
      <c r="A4" s="13"/>
      <c r="B4" s="13">
        <v>42914</v>
      </c>
      <c r="C4" s="9"/>
      <c r="D4" s="9"/>
      <c r="E4" s="9">
        <v>900000</v>
      </c>
      <c r="F4" s="9">
        <v>550000</v>
      </c>
      <c r="G4" s="9"/>
      <c r="H4" s="8"/>
      <c r="I4" s="8"/>
    </row>
    <row r="5" spans="1:9">
      <c r="A5" s="13"/>
      <c r="B5" s="13">
        <v>43096</v>
      </c>
      <c r="C5" s="9"/>
      <c r="D5" s="9">
        <v>20000000</v>
      </c>
      <c r="E5" s="9"/>
      <c r="F5" s="9"/>
      <c r="G5" s="9"/>
      <c r="H5" s="8"/>
      <c r="I5" s="8"/>
    </row>
    <row r="6" spans="1:9">
      <c r="A6" s="13"/>
      <c r="B6" s="13"/>
      <c r="C6" s="9"/>
      <c r="D6" s="9"/>
      <c r="E6" s="9"/>
      <c r="F6" s="9"/>
      <c r="G6" s="9"/>
      <c r="H6" s="8"/>
      <c r="I6" s="8"/>
    </row>
    <row r="7" spans="1:9">
      <c r="A7" s="13"/>
      <c r="B7" s="13"/>
      <c r="C7" s="9"/>
      <c r="D7" s="9"/>
      <c r="E7" s="9"/>
      <c r="F7" s="9"/>
      <c r="G7" s="9"/>
      <c r="H7" s="8"/>
      <c r="I7" s="8"/>
    </row>
    <row r="8" spans="1:9">
      <c r="A8" s="13"/>
      <c r="B8" s="13"/>
      <c r="C8" s="9"/>
      <c r="D8" s="9"/>
      <c r="E8" s="9"/>
      <c r="F8" s="9"/>
      <c r="G8" s="9"/>
      <c r="H8" s="8"/>
      <c r="I8" s="8"/>
    </row>
    <row r="9" spans="1:9">
      <c r="A9" s="13"/>
      <c r="B9" s="13"/>
      <c r="C9" s="9"/>
      <c r="D9" s="9"/>
      <c r="E9" s="9"/>
      <c r="F9" s="9"/>
      <c r="G9" s="9"/>
      <c r="H9" s="8"/>
      <c r="I9" s="8"/>
    </row>
    <row r="10" spans="1:9">
      <c r="A10" s="13"/>
      <c r="B10" s="13"/>
      <c r="C10" s="9"/>
      <c r="D10" s="9"/>
      <c r="E10" s="9"/>
      <c r="F10" s="9"/>
      <c r="G10" s="8"/>
      <c r="H10" s="8"/>
      <c r="I10" s="8"/>
    </row>
    <row r="11" spans="1:9">
      <c r="A11" s="13"/>
      <c r="B11" s="23"/>
      <c r="C11" s="9"/>
      <c r="D11" s="9"/>
      <c r="E11" s="9"/>
      <c r="F11" s="9"/>
      <c r="G11" s="8"/>
      <c r="H11" s="8"/>
      <c r="I11" s="8"/>
    </row>
    <row r="12" spans="1:9">
      <c r="A12" s="13"/>
      <c r="B12" s="13"/>
      <c r="C12" s="9"/>
      <c r="D12" s="9"/>
      <c r="E12" s="9"/>
      <c r="F12" s="9"/>
      <c r="G12" s="8"/>
      <c r="H12" s="8"/>
      <c r="I12" s="8"/>
    </row>
    <row r="13" spans="1:9">
      <c r="A13" s="13"/>
      <c r="B13" s="13"/>
      <c r="C13" s="9"/>
      <c r="D13" s="9"/>
      <c r="E13" s="9"/>
      <c r="F13" s="9"/>
      <c r="G13" s="8"/>
      <c r="H13" s="8"/>
      <c r="I13" s="8"/>
    </row>
    <row r="14" spans="1:9">
      <c r="A14" s="6"/>
      <c r="B14" s="6"/>
      <c r="C14" s="8"/>
      <c r="D14" s="8"/>
      <c r="E14" s="8"/>
      <c r="F14" s="8"/>
      <c r="G14" s="8"/>
      <c r="H14" s="8"/>
      <c r="I14" s="8"/>
    </row>
    <row r="15" spans="1:9">
      <c r="A15" s="6"/>
      <c r="B15" s="6"/>
      <c r="C15" s="8"/>
      <c r="D15" s="8"/>
      <c r="E15" s="8"/>
      <c r="F15" s="8"/>
      <c r="G15" s="8"/>
      <c r="H15" s="8"/>
      <c r="I15" s="8"/>
    </row>
    <row r="16" spans="1:9">
      <c r="A16" s="6"/>
      <c r="B16" s="6"/>
      <c r="C16" s="6"/>
      <c r="D16" s="6"/>
      <c r="E16" s="6"/>
      <c r="F16" s="6"/>
      <c r="G16" s="6"/>
      <c r="H16" s="6"/>
      <c r="I16" s="8"/>
    </row>
    <row r="17" spans="1:9">
      <c r="A17" s="6"/>
      <c r="B17" s="6"/>
      <c r="C17" s="6"/>
      <c r="D17" s="6"/>
      <c r="E17" s="6"/>
      <c r="F17" s="6"/>
      <c r="G17" s="6"/>
      <c r="H17" s="6"/>
      <c r="I17" s="8"/>
    </row>
    <row r="18" spans="1:9">
      <c r="A18" s="6"/>
      <c r="B18" s="6"/>
      <c r="C18" s="6"/>
      <c r="D18" s="6"/>
      <c r="E18" s="6"/>
      <c r="F18" s="6"/>
      <c r="G18" s="6"/>
      <c r="H18" s="6"/>
      <c r="I18" s="8"/>
    </row>
    <row r="19" spans="1:9">
      <c r="A19" t="s">
        <v>558</v>
      </c>
      <c r="C19" s="11">
        <f t="shared" ref="C19:I19" si="0">SUM(C3:C18)</f>
        <v>20000000</v>
      </c>
      <c r="D19" s="11">
        <f t="shared" si="0"/>
        <v>20000000</v>
      </c>
      <c r="E19" s="11">
        <f t="shared" si="0"/>
        <v>900000</v>
      </c>
      <c r="F19" s="11">
        <f t="shared" si="0"/>
        <v>550000</v>
      </c>
      <c r="G19" s="11">
        <f t="shared" si="0"/>
        <v>0</v>
      </c>
      <c r="H19" s="11">
        <f t="shared" si="0"/>
        <v>0</v>
      </c>
      <c r="I19" s="11">
        <f t="shared" si="0"/>
        <v>0</v>
      </c>
    </row>
  </sheetData>
  <mergeCells count="1">
    <mergeCell ref="A1:G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19"/>
  <sheetViews>
    <sheetView workbookViewId="0">
      <selection activeCell="K1" sqref="K1"/>
    </sheetView>
  </sheetViews>
  <sheetFormatPr defaultColWidth="9" defaultRowHeight="13.5"/>
  <cols>
    <col min="1" max="1" width="10.5" customWidth="1"/>
    <col min="2" max="2" width="11.625" customWidth="1"/>
    <col min="3" max="3" width="18.375" customWidth="1"/>
    <col min="4" max="4" width="17.25" customWidth="1"/>
    <col min="5" max="6" width="16.125" customWidth="1"/>
    <col min="7" max="8" width="11.875" customWidth="1"/>
    <col min="11" max="11" width="11" customWidth="1"/>
  </cols>
  <sheetData>
    <row r="1" ht="18.75" spans="1:11">
      <c r="A1" s="2" t="s">
        <v>599</v>
      </c>
      <c r="B1" s="2"/>
      <c r="C1" s="2"/>
      <c r="D1" s="2"/>
      <c r="E1" s="2"/>
      <c r="F1" s="2"/>
      <c r="G1" s="2"/>
      <c r="H1" s="2"/>
      <c r="I1" s="2"/>
      <c r="J1" s="12" t="s">
        <v>544</v>
      </c>
      <c r="K1" s="12" t="s">
        <v>545</v>
      </c>
    </row>
    <row r="2" spans="1:9">
      <c r="A2" s="3" t="s">
        <v>2</v>
      </c>
      <c r="B2" s="3" t="s">
        <v>557</v>
      </c>
      <c r="C2" s="3" t="s">
        <v>6</v>
      </c>
      <c r="D2" s="3" t="s">
        <v>513</v>
      </c>
      <c r="E2" s="3" t="s">
        <v>515</v>
      </c>
      <c r="F2" s="3" t="s">
        <v>517</v>
      </c>
      <c r="G2" s="3" t="s">
        <v>519</v>
      </c>
      <c r="H2" s="4" t="s">
        <v>521</v>
      </c>
      <c r="I2" s="4" t="s">
        <v>522</v>
      </c>
    </row>
    <row r="3" spans="1:9">
      <c r="A3" s="13">
        <v>42905</v>
      </c>
      <c r="B3" s="13"/>
      <c r="C3" s="9">
        <v>10000000</v>
      </c>
      <c r="D3" s="9"/>
      <c r="E3" s="9"/>
      <c r="F3" s="9"/>
      <c r="G3" s="9"/>
      <c r="H3" s="8"/>
      <c r="I3" s="8"/>
    </row>
    <row r="4" spans="1:9">
      <c r="A4" s="13"/>
      <c r="B4" s="13">
        <v>42906</v>
      </c>
      <c r="C4" s="9"/>
      <c r="D4" s="9"/>
      <c r="E4" s="9"/>
      <c r="F4" s="9">
        <v>200000</v>
      </c>
      <c r="G4" s="9"/>
      <c r="H4" s="8"/>
      <c r="I4" s="8"/>
    </row>
    <row r="5" spans="1:9">
      <c r="A5" s="13">
        <v>42930</v>
      </c>
      <c r="B5" s="13"/>
      <c r="C5" s="9">
        <v>20000000</v>
      </c>
      <c r="D5" s="9"/>
      <c r="E5" s="9"/>
      <c r="F5" s="9"/>
      <c r="G5" s="9"/>
      <c r="H5" s="8"/>
      <c r="I5" s="8"/>
    </row>
    <row r="6" spans="1:9">
      <c r="A6" s="13"/>
      <c r="B6" s="13">
        <v>42933</v>
      </c>
      <c r="C6" s="9"/>
      <c r="D6" s="9"/>
      <c r="E6" s="9"/>
      <c r="F6" s="9">
        <v>400000</v>
      </c>
      <c r="G6" s="9"/>
      <c r="H6" s="8"/>
      <c r="I6" s="8"/>
    </row>
    <row r="7" spans="1:9">
      <c r="A7" s="13">
        <v>42934</v>
      </c>
      <c r="B7" s="13"/>
      <c r="C7" s="9">
        <v>30000000</v>
      </c>
      <c r="D7" s="9"/>
      <c r="E7" s="9"/>
      <c r="F7" s="9"/>
      <c r="G7" s="9"/>
      <c r="H7" s="8"/>
      <c r="I7" s="8"/>
    </row>
    <row r="8" spans="1:9">
      <c r="A8" s="13"/>
      <c r="B8" s="13">
        <v>42934</v>
      </c>
      <c r="C8" s="9"/>
      <c r="D8" s="9"/>
      <c r="E8" s="9"/>
      <c r="F8" s="9">
        <v>600000</v>
      </c>
      <c r="G8" s="9"/>
      <c r="H8" s="8"/>
      <c r="I8" s="8"/>
    </row>
    <row r="9" spans="1:9">
      <c r="A9" s="13">
        <v>42935</v>
      </c>
      <c r="B9" s="13"/>
      <c r="C9" s="9">
        <v>40000000</v>
      </c>
      <c r="D9" s="9"/>
      <c r="E9" s="9"/>
      <c r="F9" s="9"/>
      <c r="G9" s="9"/>
      <c r="H9" s="8"/>
      <c r="I9" s="8"/>
    </row>
    <row r="10" spans="1:9">
      <c r="A10" s="13"/>
      <c r="B10" s="13">
        <v>42935</v>
      </c>
      <c r="C10" s="9"/>
      <c r="D10" s="9"/>
      <c r="E10" s="9"/>
      <c r="F10" s="9">
        <v>800000</v>
      </c>
      <c r="G10" s="8"/>
      <c r="H10" s="8"/>
      <c r="I10" s="8"/>
    </row>
    <row r="11" spans="1:9">
      <c r="A11" s="13"/>
      <c r="B11" s="23">
        <v>42993</v>
      </c>
      <c r="C11" s="9"/>
      <c r="D11" s="9"/>
      <c r="E11" s="9">
        <v>225000</v>
      </c>
      <c r="F11" s="9"/>
      <c r="G11" s="8"/>
      <c r="H11" s="8"/>
      <c r="I11" s="8"/>
    </row>
    <row r="12" spans="1:9">
      <c r="A12" s="13"/>
      <c r="B12" s="13">
        <v>43020</v>
      </c>
      <c r="C12" s="9"/>
      <c r="D12" s="9"/>
      <c r="E12" s="9">
        <v>450000</v>
      </c>
      <c r="F12" s="9"/>
      <c r="G12" s="8"/>
      <c r="H12" s="8"/>
      <c r="I12" s="8"/>
    </row>
    <row r="13" spans="1:9">
      <c r="A13" s="13"/>
      <c r="B13" s="13">
        <v>43024</v>
      </c>
      <c r="C13" s="9"/>
      <c r="D13" s="9"/>
      <c r="E13" s="9">
        <v>675000</v>
      </c>
      <c r="F13" s="9"/>
      <c r="G13" s="8"/>
      <c r="H13" s="8"/>
      <c r="I13" s="8"/>
    </row>
    <row r="14" spans="1:9">
      <c r="A14" s="6"/>
      <c r="B14" s="6">
        <v>43025</v>
      </c>
      <c r="C14" s="8"/>
      <c r="D14" s="8"/>
      <c r="E14" s="8">
        <v>900000</v>
      </c>
      <c r="F14" s="8"/>
      <c r="G14" s="8"/>
      <c r="H14" s="8"/>
      <c r="I14" s="8"/>
    </row>
    <row r="15" spans="1:9">
      <c r="A15" s="6"/>
      <c r="B15" s="6">
        <v>43088</v>
      </c>
      <c r="C15" s="8"/>
      <c r="D15" s="8">
        <v>10000000</v>
      </c>
      <c r="E15" s="8">
        <v>225000</v>
      </c>
      <c r="F15" s="8"/>
      <c r="G15" s="8"/>
      <c r="H15" s="8"/>
      <c r="I15" s="8"/>
    </row>
    <row r="16" spans="1:9">
      <c r="A16" s="6"/>
      <c r="B16" s="6"/>
      <c r="C16" s="6"/>
      <c r="D16" s="6"/>
      <c r="E16" s="6"/>
      <c r="F16" s="6"/>
      <c r="G16" s="6"/>
      <c r="H16" s="6"/>
      <c r="I16" s="8"/>
    </row>
    <row r="17" spans="1:9">
      <c r="A17" s="6"/>
      <c r="B17" s="6"/>
      <c r="C17" s="6"/>
      <c r="D17" s="6"/>
      <c r="E17" s="6"/>
      <c r="F17" s="6"/>
      <c r="G17" s="6"/>
      <c r="H17" s="6"/>
      <c r="I17" s="8"/>
    </row>
    <row r="18" spans="1:9">
      <c r="A18" s="6"/>
      <c r="B18" s="6"/>
      <c r="C18" s="6"/>
      <c r="D18" s="6"/>
      <c r="E18" s="6"/>
      <c r="F18" s="6"/>
      <c r="G18" s="6"/>
      <c r="H18" s="6"/>
      <c r="I18" s="8"/>
    </row>
    <row r="19" spans="1:9">
      <c r="A19" t="s">
        <v>558</v>
      </c>
      <c r="C19" s="11">
        <f t="shared" ref="C19:I19" si="0">SUM(C3:C18)</f>
        <v>100000000</v>
      </c>
      <c r="D19" s="11">
        <f t="shared" si="0"/>
        <v>10000000</v>
      </c>
      <c r="E19" s="11">
        <f t="shared" si="0"/>
        <v>2475000</v>
      </c>
      <c r="F19" s="11">
        <f t="shared" si="0"/>
        <v>2000000</v>
      </c>
      <c r="G19" s="11">
        <f t="shared" si="0"/>
        <v>0</v>
      </c>
      <c r="H19" s="11">
        <f t="shared" si="0"/>
        <v>0</v>
      </c>
      <c r="I19" s="11">
        <f t="shared" si="0"/>
        <v>0</v>
      </c>
    </row>
  </sheetData>
  <mergeCells count="1">
    <mergeCell ref="A1:I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19"/>
  <sheetViews>
    <sheetView workbookViewId="0">
      <selection activeCell="K1" sqref="K1"/>
    </sheetView>
  </sheetViews>
  <sheetFormatPr defaultColWidth="9" defaultRowHeight="13.5"/>
  <cols>
    <col min="1" max="2" width="10.5" customWidth="1"/>
    <col min="3" max="3" width="18.375" customWidth="1"/>
    <col min="4" max="4" width="9.75" customWidth="1"/>
    <col min="5" max="6" width="16.125" customWidth="1"/>
    <col min="7" max="8" width="11.875" customWidth="1"/>
  </cols>
  <sheetData>
    <row r="1" ht="18.75" spans="1:11">
      <c r="A1" s="1" t="s">
        <v>600</v>
      </c>
      <c r="B1" s="1"/>
      <c r="C1" s="1"/>
      <c r="D1" s="1"/>
      <c r="E1" s="1"/>
      <c r="F1" s="1"/>
      <c r="G1" s="1"/>
      <c r="H1" s="2"/>
      <c r="J1" s="12" t="s">
        <v>544</v>
      </c>
      <c r="K1" s="12" t="s">
        <v>545</v>
      </c>
    </row>
    <row r="2" spans="1:9">
      <c r="A2" s="3" t="s">
        <v>2</v>
      </c>
      <c r="B2" s="3" t="s">
        <v>557</v>
      </c>
      <c r="C2" s="3" t="s">
        <v>6</v>
      </c>
      <c r="D2" s="3" t="s">
        <v>513</v>
      </c>
      <c r="E2" s="3" t="s">
        <v>515</v>
      </c>
      <c r="F2" s="3" t="s">
        <v>517</v>
      </c>
      <c r="G2" s="3" t="s">
        <v>519</v>
      </c>
      <c r="H2" s="4" t="s">
        <v>521</v>
      </c>
      <c r="I2" s="4" t="s">
        <v>522</v>
      </c>
    </row>
    <row r="3" spans="1:9">
      <c r="A3" s="13">
        <v>42892</v>
      </c>
      <c r="B3" s="13"/>
      <c r="C3" s="9">
        <v>100000000</v>
      </c>
      <c r="D3" s="9"/>
      <c r="E3" s="9"/>
      <c r="F3" s="9"/>
      <c r="G3" s="9"/>
      <c r="H3" s="8"/>
      <c r="I3" s="8"/>
    </row>
    <row r="4" spans="1:9">
      <c r="A4" s="13"/>
      <c r="B4" s="13">
        <v>42892</v>
      </c>
      <c r="C4" s="9"/>
      <c r="D4" s="9"/>
      <c r="E4" s="9"/>
      <c r="F4" s="9">
        <v>7000000</v>
      </c>
      <c r="G4" s="9"/>
      <c r="H4" s="8"/>
      <c r="I4" s="8"/>
    </row>
    <row r="5" spans="1:9">
      <c r="A5" s="13"/>
      <c r="B5" s="13">
        <v>42985</v>
      </c>
      <c r="C5" s="9"/>
      <c r="D5" s="9"/>
      <c r="E5" s="9">
        <v>2250000</v>
      </c>
      <c r="F5" s="9"/>
      <c r="G5" s="9"/>
      <c r="H5" s="8"/>
      <c r="I5" s="8"/>
    </row>
    <row r="6" spans="1:9">
      <c r="A6" s="13"/>
      <c r="B6" s="13">
        <v>43076</v>
      </c>
      <c r="C6" s="9"/>
      <c r="D6" s="9"/>
      <c r="E6" s="9">
        <v>2250000</v>
      </c>
      <c r="F6" s="9"/>
      <c r="G6" s="9"/>
      <c r="H6" s="8"/>
      <c r="I6" s="8"/>
    </row>
    <row r="7" spans="1:9">
      <c r="A7" s="13"/>
      <c r="B7" s="13"/>
      <c r="C7" s="9"/>
      <c r="D7" s="9"/>
      <c r="E7" s="9"/>
      <c r="F7" s="9"/>
      <c r="G7" s="9"/>
      <c r="H7" s="8"/>
      <c r="I7" s="8"/>
    </row>
    <row r="8" spans="1:9">
      <c r="A8" s="13"/>
      <c r="B8" s="13"/>
      <c r="C8" s="9"/>
      <c r="D8" s="9"/>
      <c r="E8" s="9"/>
      <c r="F8" s="9"/>
      <c r="G8" s="9"/>
      <c r="H8" s="8"/>
      <c r="I8" s="8"/>
    </row>
    <row r="9" spans="1:9">
      <c r="A9" s="13"/>
      <c r="B9" s="13"/>
      <c r="C9" s="9"/>
      <c r="D9" s="9"/>
      <c r="E9" s="9"/>
      <c r="F9" s="9"/>
      <c r="G9" s="9"/>
      <c r="H9" s="8"/>
      <c r="I9" s="8"/>
    </row>
    <row r="10" spans="1:9">
      <c r="A10" s="13"/>
      <c r="B10" s="13"/>
      <c r="C10" s="9"/>
      <c r="D10" s="9"/>
      <c r="E10" s="9"/>
      <c r="F10" s="9"/>
      <c r="G10" s="8"/>
      <c r="H10" s="8"/>
      <c r="I10" s="8"/>
    </row>
    <row r="11" spans="1:9">
      <c r="A11" s="13"/>
      <c r="B11" s="23"/>
      <c r="C11" s="9"/>
      <c r="D11" s="9"/>
      <c r="E11" s="9"/>
      <c r="F11" s="9"/>
      <c r="G11" s="8"/>
      <c r="H11" s="8"/>
      <c r="I11" s="8"/>
    </row>
    <row r="12" spans="1:9">
      <c r="A12" s="13"/>
      <c r="B12" s="13"/>
      <c r="C12" s="9"/>
      <c r="D12" s="9"/>
      <c r="E12" s="9"/>
      <c r="F12" s="9"/>
      <c r="G12" s="8"/>
      <c r="H12" s="8"/>
      <c r="I12" s="8"/>
    </row>
    <row r="13" spans="1:9">
      <c r="A13" s="13"/>
      <c r="B13" s="13"/>
      <c r="C13" s="9"/>
      <c r="D13" s="9"/>
      <c r="E13" s="9"/>
      <c r="F13" s="9"/>
      <c r="G13" s="8"/>
      <c r="H13" s="8"/>
      <c r="I13" s="8"/>
    </row>
    <row r="14" spans="1:9">
      <c r="A14" s="6"/>
      <c r="B14" s="6"/>
      <c r="C14" s="8"/>
      <c r="D14" s="8"/>
      <c r="E14" s="8"/>
      <c r="F14" s="8"/>
      <c r="G14" s="8"/>
      <c r="H14" s="8"/>
      <c r="I14" s="8"/>
    </row>
    <row r="15" spans="1:9">
      <c r="A15" s="6"/>
      <c r="B15" s="6"/>
      <c r="C15" s="8"/>
      <c r="D15" s="8"/>
      <c r="E15" s="8"/>
      <c r="F15" s="8"/>
      <c r="G15" s="8"/>
      <c r="H15" s="8"/>
      <c r="I15" s="8"/>
    </row>
    <row r="16" spans="1:9">
      <c r="A16" s="6"/>
      <c r="B16" s="6"/>
      <c r="C16" s="6"/>
      <c r="D16" s="6"/>
      <c r="E16" s="6"/>
      <c r="F16" s="6"/>
      <c r="G16" s="6"/>
      <c r="H16" s="6"/>
      <c r="I16" s="8"/>
    </row>
    <row r="17" spans="1:9">
      <c r="A17" s="6"/>
      <c r="B17" s="6"/>
      <c r="C17" s="6"/>
      <c r="D17" s="6"/>
      <c r="E17" s="6"/>
      <c r="F17" s="6"/>
      <c r="G17" s="6"/>
      <c r="H17" s="6"/>
      <c r="I17" s="8"/>
    </row>
    <row r="18" spans="1:9">
      <c r="A18" s="6"/>
      <c r="B18" s="6"/>
      <c r="C18" s="6"/>
      <c r="D18" s="6"/>
      <c r="E18" s="6"/>
      <c r="F18" s="6"/>
      <c r="G18" s="6"/>
      <c r="H18" s="6"/>
      <c r="I18" s="8"/>
    </row>
    <row r="19" spans="1:9">
      <c r="A19" t="s">
        <v>558</v>
      </c>
      <c r="C19" s="11">
        <f t="shared" ref="C19:I19" si="0">SUM(C3:C18)</f>
        <v>100000000</v>
      </c>
      <c r="D19" s="11">
        <f t="shared" si="0"/>
        <v>0</v>
      </c>
      <c r="E19" s="11">
        <f t="shared" si="0"/>
        <v>4500000</v>
      </c>
      <c r="F19" s="11">
        <f t="shared" si="0"/>
        <v>7000000</v>
      </c>
      <c r="G19" s="11">
        <f t="shared" si="0"/>
        <v>0</v>
      </c>
      <c r="H19" s="11">
        <f t="shared" si="0"/>
        <v>0</v>
      </c>
      <c r="I19" s="11">
        <f t="shared" si="0"/>
        <v>0</v>
      </c>
    </row>
  </sheetData>
  <mergeCells count="1">
    <mergeCell ref="A1:G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19"/>
  <sheetViews>
    <sheetView workbookViewId="0">
      <selection activeCell="J1" sqref="J1"/>
    </sheetView>
  </sheetViews>
  <sheetFormatPr defaultColWidth="9" defaultRowHeight="13.5"/>
  <cols>
    <col min="1" max="1" width="10.5" customWidth="1"/>
    <col min="2" max="2" width="12.375" customWidth="1"/>
    <col min="3" max="4" width="17.25" customWidth="1"/>
    <col min="5" max="8" width="16.125" customWidth="1"/>
  </cols>
  <sheetData>
    <row r="1" ht="18.75" spans="1:11">
      <c r="A1" s="1" t="s">
        <v>601</v>
      </c>
      <c r="B1" s="1"/>
      <c r="C1" s="1"/>
      <c r="D1" s="1"/>
      <c r="E1" s="1"/>
      <c r="F1" s="1"/>
      <c r="G1" s="1"/>
      <c r="H1" s="2"/>
      <c r="J1" s="12" t="s">
        <v>544</v>
      </c>
      <c r="K1" s="12" t="s">
        <v>545</v>
      </c>
    </row>
    <row r="2" spans="1:9">
      <c r="A2" s="3" t="s">
        <v>2</v>
      </c>
      <c r="B2" s="3" t="s">
        <v>557</v>
      </c>
      <c r="C2" s="3" t="s">
        <v>6</v>
      </c>
      <c r="D2" s="3" t="s">
        <v>513</v>
      </c>
      <c r="E2" s="3" t="s">
        <v>515</v>
      </c>
      <c r="F2" s="3" t="s">
        <v>517</v>
      </c>
      <c r="G2" s="3" t="s">
        <v>519</v>
      </c>
      <c r="H2" s="4" t="s">
        <v>521</v>
      </c>
      <c r="I2" s="4" t="s">
        <v>522</v>
      </c>
    </row>
    <row r="3" spans="1:9">
      <c r="A3" s="13">
        <v>42937</v>
      </c>
      <c r="B3" s="13"/>
      <c r="C3" s="9">
        <v>50000000</v>
      </c>
      <c r="D3" s="9"/>
      <c r="E3" s="9"/>
      <c r="F3" s="9"/>
      <c r="G3" s="9"/>
      <c r="H3" s="8"/>
      <c r="I3" s="8"/>
    </row>
    <row r="4" spans="1:9">
      <c r="A4" s="13"/>
      <c r="B4" s="13">
        <v>42937</v>
      </c>
      <c r="C4" s="9"/>
      <c r="D4" s="9"/>
      <c r="E4" s="9">
        <v>2250000</v>
      </c>
      <c r="F4" s="9">
        <v>1250000</v>
      </c>
      <c r="G4" s="9"/>
      <c r="H4" s="8"/>
      <c r="I4" s="8"/>
    </row>
    <row r="5" spans="1:9">
      <c r="A5" s="13"/>
      <c r="B5" s="13"/>
      <c r="C5" s="9"/>
      <c r="D5" s="9"/>
      <c r="E5" s="9"/>
      <c r="F5" s="9"/>
      <c r="G5" s="9"/>
      <c r="H5" s="8"/>
      <c r="I5" s="8"/>
    </row>
    <row r="6" spans="1:9">
      <c r="A6" s="13"/>
      <c r="B6" s="13"/>
      <c r="C6" s="9"/>
      <c r="D6" s="9"/>
      <c r="E6" s="9"/>
      <c r="F6" s="9"/>
      <c r="G6" s="9"/>
      <c r="H6" s="8"/>
      <c r="I6" s="8"/>
    </row>
    <row r="7" spans="1:9">
      <c r="A7" s="13"/>
      <c r="B7" s="13"/>
      <c r="C7" s="9"/>
      <c r="D7" s="9"/>
      <c r="E7" s="9"/>
      <c r="F7" s="9"/>
      <c r="G7" s="9"/>
      <c r="H7" s="8"/>
      <c r="I7" s="8"/>
    </row>
    <row r="8" spans="1:9">
      <c r="A8" s="13"/>
      <c r="B8" s="13"/>
      <c r="C8" s="9"/>
      <c r="D8" s="9"/>
      <c r="E8" s="9"/>
      <c r="F8" s="9"/>
      <c r="G8" s="9"/>
      <c r="H8" s="8"/>
      <c r="I8" s="8"/>
    </row>
    <row r="9" spans="1:9">
      <c r="A9" s="13"/>
      <c r="B9" s="13"/>
      <c r="C9" s="9"/>
      <c r="D9" s="9"/>
      <c r="E9" s="9"/>
      <c r="F9" s="9"/>
      <c r="G9" s="9"/>
      <c r="H9" s="8"/>
      <c r="I9" s="8"/>
    </row>
    <row r="10" spans="1:9">
      <c r="A10" s="13"/>
      <c r="B10" s="13"/>
      <c r="C10" s="9"/>
      <c r="D10" s="9"/>
      <c r="E10" s="9"/>
      <c r="F10" s="9"/>
      <c r="G10" s="8"/>
      <c r="H10" s="8"/>
      <c r="I10" s="8"/>
    </row>
    <row r="11" spans="1:9">
      <c r="A11" s="13"/>
      <c r="B11" s="23"/>
      <c r="C11" s="9"/>
      <c r="D11" s="9"/>
      <c r="E11" s="9"/>
      <c r="F11" s="9"/>
      <c r="G11" s="8"/>
      <c r="H11" s="8"/>
      <c r="I11" s="8"/>
    </row>
    <row r="12" spans="1:9">
      <c r="A12" s="13"/>
      <c r="B12" s="13"/>
      <c r="C12" s="9"/>
      <c r="D12" s="9"/>
      <c r="E12" s="9"/>
      <c r="F12" s="9"/>
      <c r="G12" s="8"/>
      <c r="H12" s="8"/>
      <c r="I12" s="8"/>
    </row>
    <row r="13" spans="1:9">
      <c r="A13" s="13"/>
      <c r="B13" s="13"/>
      <c r="C13" s="9"/>
      <c r="D13" s="9"/>
      <c r="E13" s="9"/>
      <c r="F13" s="9"/>
      <c r="G13" s="8"/>
      <c r="H13" s="8"/>
      <c r="I13" s="8"/>
    </row>
    <row r="14" spans="1:9">
      <c r="A14" s="6"/>
      <c r="B14" s="6"/>
      <c r="C14" s="8"/>
      <c r="D14" s="8"/>
      <c r="E14" s="8"/>
      <c r="F14" s="8"/>
      <c r="G14" s="8"/>
      <c r="H14" s="8"/>
      <c r="I14" s="8"/>
    </row>
    <row r="15" spans="1:9">
      <c r="A15" s="6"/>
      <c r="B15" s="6"/>
      <c r="C15" s="8"/>
      <c r="D15" s="8"/>
      <c r="E15" s="8"/>
      <c r="F15" s="8"/>
      <c r="G15" s="8"/>
      <c r="H15" s="8"/>
      <c r="I15" s="8"/>
    </row>
    <row r="16" spans="1:9">
      <c r="A16" s="6"/>
      <c r="B16" s="6"/>
      <c r="C16" s="6"/>
      <c r="D16" s="6"/>
      <c r="E16" s="6"/>
      <c r="F16" s="6"/>
      <c r="G16" s="6"/>
      <c r="H16" s="6"/>
      <c r="I16" s="8"/>
    </row>
    <row r="17" spans="1:9">
      <c r="A17" s="6"/>
      <c r="B17" s="6"/>
      <c r="C17" s="6"/>
      <c r="D17" s="6"/>
      <c r="E17" s="6"/>
      <c r="F17" s="6"/>
      <c r="G17" s="6"/>
      <c r="H17" s="6"/>
      <c r="I17" s="8"/>
    </row>
    <row r="18" spans="1:9">
      <c r="A18" s="6"/>
      <c r="B18" s="6"/>
      <c r="C18" s="6"/>
      <c r="D18" s="6"/>
      <c r="E18" s="6"/>
      <c r="F18" s="6"/>
      <c r="G18" s="6"/>
      <c r="H18" s="6"/>
      <c r="I18" s="8"/>
    </row>
    <row r="19" spans="1:9">
      <c r="A19" t="s">
        <v>558</v>
      </c>
      <c r="C19" s="11">
        <f t="shared" ref="C19:I19" si="0">SUM(C3:C18)</f>
        <v>50000000</v>
      </c>
      <c r="D19" s="11">
        <f t="shared" si="0"/>
        <v>0</v>
      </c>
      <c r="E19" s="11">
        <f t="shared" si="0"/>
        <v>2250000</v>
      </c>
      <c r="F19" s="11">
        <f t="shared" si="0"/>
        <v>1250000</v>
      </c>
      <c r="G19" s="11">
        <f t="shared" si="0"/>
        <v>0</v>
      </c>
      <c r="H19" s="11">
        <f t="shared" si="0"/>
        <v>0</v>
      </c>
      <c r="I19" s="11">
        <f t="shared" si="0"/>
        <v>0</v>
      </c>
    </row>
  </sheetData>
  <mergeCells count="1">
    <mergeCell ref="A1:G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19"/>
  <sheetViews>
    <sheetView workbookViewId="0">
      <selection activeCell="K1" sqref="K1"/>
    </sheetView>
  </sheetViews>
  <sheetFormatPr defaultColWidth="9" defaultRowHeight="13.5"/>
  <cols>
    <col min="1" max="1" width="10.5" customWidth="1"/>
    <col min="2" max="2" width="12.375" customWidth="1"/>
    <col min="3" max="4" width="17.25" customWidth="1"/>
    <col min="5" max="8" width="16.125" customWidth="1"/>
  </cols>
  <sheetData>
    <row r="1" ht="18.75" spans="1:11">
      <c r="A1" s="1" t="s">
        <v>602</v>
      </c>
      <c r="B1" s="1"/>
      <c r="C1" s="1"/>
      <c r="D1" s="1"/>
      <c r="E1" s="1"/>
      <c r="F1" s="1"/>
      <c r="G1" s="1"/>
      <c r="H1" s="2"/>
      <c r="J1" s="12" t="s">
        <v>544</v>
      </c>
      <c r="K1" s="12" t="s">
        <v>545</v>
      </c>
    </row>
    <row r="2" spans="1:9">
      <c r="A2" s="3" t="s">
        <v>2</v>
      </c>
      <c r="B2" s="3" t="s">
        <v>557</v>
      </c>
      <c r="C2" s="3" t="s">
        <v>6</v>
      </c>
      <c r="D2" s="3" t="s">
        <v>513</v>
      </c>
      <c r="E2" s="3" t="s">
        <v>515</v>
      </c>
      <c r="F2" s="3" t="s">
        <v>517</v>
      </c>
      <c r="G2" s="3" t="s">
        <v>519</v>
      </c>
      <c r="H2" s="4" t="s">
        <v>521</v>
      </c>
      <c r="I2" s="4" t="s">
        <v>522</v>
      </c>
    </row>
    <row r="3" spans="1:9">
      <c r="A3" s="13">
        <v>42951</v>
      </c>
      <c r="B3" s="13">
        <v>42951</v>
      </c>
      <c r="C3" s="9">
        <v>50000000</v>
      </c>
      <c r="D3" s="9"/>
      <c r="E3" s="9">
        <v>2250000</v>
      </c>
      <c r="F3" s="9">
        <v>1250000</v>
      </c>
      <c r="G3" s="9"/>
      <c r="H3" s="8"/>
      <c r="I3" s="8"/>
    </row>
    <row r="4" spans="1:9">
      <c r="A4" s="13"/>
      <c r="B4" s="13"/>
      <c r="C4" s="9"/>
      <c r="D4" s="9"/>
      <c r="E4" s="9"/>
      <c r="F4" s="9"/>
      <c r="G4" s="9"/>
      <c r="H4" s="8"/>
      <c r="I4" s="8"/>
    </row>
    <row r="5" spans="1:9">
      <c r="A5" s="13"/>
      <c r="B5" s="13"/>
      <c r="C5" s="9"/>
      <c r="D5" s="9"/>
      <c r="E5" s="9"/>
      <c r="F5" s="9"/>
      <c r="G5" s="9"/>
      <c r="H5" s="8"/>
      <c r="I5" s="8"/>
    </row>
    <row r="6" spans="1:9">
      <c r="A6" s="13"/>
      <c r="B6" s="13"/>
      <c r="C6" s="9"/>
      <c r="D6" s="9"/>
      <c r="E6" s="9"/>
      <c r="F6" s="9"/>
      <c r="G6" s="9"/>
      <c r="H6" s="8"/>
      <c r="I6" s="8"/>
    </row>
    <row r="7" spans="1:9">
      <c r="A7" s="13"/>
      <c r="B7" s="13"/>
      <c r="C7" s="9"/>
      <c r="D7" s="9"/>
      <c r="E7" s="9"/>
      <c r="F7" s="9"/>
      <c r="G7" s="9"/>
      <c r="H7" s="8"/>
      <c r="I7" s="8"/>
    </row>
    <row r="8" spans="1:9">
      <c r="A8" s="13"/>
      <c r="B8" s="13"/>
      <c r="C8" s="9"/>
      <c r="D8" s="9"/>
      <c r="E8" s="9"/>
      <c r="F8" s="9"/>
      <c r="G8" s="9"/>
      <c r="H8" s="8"/>
      <c r="I8" s="8"/>
    </row>
    <row r="9" spans="1:9">
      <c r="A9" s="13"/>
      <c r="B9" s="13"/>
      <c r="C9" s="9"/>
      <c r="D9" s="9"/>
      <c r="E9" s="9"/>
      <c r="F9" s="9"/>
      <c r="G9" s="9"/>
      <c r="H9" s="8"/>
      <c r="I9" s="8"/>
    </row>
    <row r="10" spans="1:9">
      <c r="A10" s="13"/>
      <c r="B10" s="13"/>
      <c r="C10" s="9"/>
      <c r="D10" s="9"/>
      <c r="E10" s="9"/>
      <c r="F10" s="9"/>
      <c r="G10" s="8"/>
      <c r="H10" s="8"/>
      <c r="I10" s="8"/>
    </row>
    <row r="11" spans="1:9">
      <c r="A11" s="13"/>
      <c r="B11" s="23"/>
      <c r="C11" s="9"/>
      <c r="D11" s="9"/>
      <c r="E11" s="9"/>
      <c r="F11" s="9"/>
      <c r="G11" s="8"/>
      <c r="H11" s="8"/>
      <c r="I11" s="8"/>
    </row>
    <row r="12" spans="1:9">
      <c r="A12" s="13"/>
      <c r="B12" s="13"/>
      <c r="C12" s="9"/>
      <c r="D12" s="9"/>
      <c r="E12" s="9"/>
      <c r="F12" s="9"/>
      <c r="G12" s="8"/>
      <c r="H12" s="8"/>
      <c r="I12" s="8"/>
    </row>
    <row r="13" spans="1:9">
      <c r="A13" s="13"/>
      <c r="B13" s="13"/>
      <c r="C13" s="9"/>
      <c r="D13" s="9"/>
      <c r="E13" s="9"/>
      <c r="F13" s="9"/>
      <c r="G13" s="8"/>
      <c r="H13" s="8"/>
      <c r="I13" s="8"/>
    </row>
    <row r="14" spans="1:9">
      <c r="A14" s="6"/>
      <c r="B14" s="6"/>
      <c r="C14" s="8"/>
      <c r="D14" s="8"/>
      <c r="E14" s="8"/>
      <c r="F14" s="8"/>
      <c r="G14" s="8"/>
      <c r="H14" s="8"/>
      <c r="I14" s="8"/>
    </row>
    <row r="15" spans="1:9">
      <c r="A15" s="6"/>
      <c r="B15" s="6"/>
      <c r="C15" s="8"/>
      <c r="D15" s="8"/>
      <c r="E15" s="8"/>
      <c r="F15" s="8"/>
      <c r="G15" s="8"/>
      <c r="H15" s="8"/>
      <c r="I15" s="8"/>
    </row>
    <row r="16" spans="1:9">
      <c r="A16" s="6"/>
      <c r="B16" s="6"/>
      <c r="C16" s="6"/>
      <c r="D16" s="6"/>
      <c r="E16" s="6"/>
      <c r="F16" s="6"/>
      <c r="G16" s="6"/>
      <c r="H16" s="6"/>
      <c r="I16" s="8"/>
    </row>
    <row r="17" spans="1:9">
      <c r="A17" s="6"/>
      <c r="B17" s="6"/>
      <c r="C17" s="6"/>
      <c r="D17" s="6"/>
      <c r="E17" s="6"/>
      <c r="F17" s="6"/>
      <c r="G17" s="6"/>
      <c r="H17" s="6"/>
      <c r="I17" s="8"/>
    </row>
    <row r="18" spans="1:9">
      <c r="A18" s="6"/>
      <c r="B18" s="6"/>
      <c r="C18" s="6"/>
      <c r="D18" s="6"/>
      <c r="E18" s="6"/>
      <c r="F18" s="6"/>
      <c r="G18" s="6"/>
      <c r="H18" s="6"/>
      <c r="I18" s="8"/>
    </row>
    <row r="19" spans="1:9">
      <c r="A19" t="s">
        <v>558</v>
      </c>
      <c r="C19" s="11">
        <f t="shared" ref="C19:I19" si="0">SUM(C3:C18)</f>
        <v>50000000</v>
      </c>
      <c r="D19" s="11">
        <f t="shared" si="0"/>
        <v>0</v>
      </c>
      <c r="E19" s="11">
        <f t="shared" si="0"/>
        <v>2250000</v>
      </c>
      <c r="F19" s="11">
        <f t="shared" si="0"/>
        <v>1250000</v>
      </c>
      <c r="G19" s="11">
        <f t="shared" si="0"/>
        <v>0</v>
      </c>
      <c r="H19" s="11">
        <f t="shared" si="0"/>
        <v>0</v>
      </c>
      <c r="I19" s="11">
        <f t="shared" si="0"/>
        <v>0</v>
      </c>
    </row>
  </sheetData>
  <mergeCells count="1">
    <mergeCell ref="A1:G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19"/>
  <sheetViews>
    <sheetView workbookViewId="0">
      <selection activeCell="K1" sqref="K1"/>
    </sheetView>
  </sheetViews>
  <sheetFormatPr defaultColWidth="9" defaultRowHeight="13.5"/>
  <cols>
    <col min="1" max="1" width="10.5" customWidth="1"/>
    <col min="2" max="2" width="12.375" customWidth="1"/>
    <col min="3" max="4" width="17.25" customWidth="1"/>
    <col min="5" max="7" width="16.125" customWidth="1"/>
    <col min="8" max="8" width="17.25" customWidth="1"/>
  </cols>
  <sheetData>
    <row r="1" ht="18.75" spans="1:11">
      <c r="A1" s="1" t="s">
        <v>603</v>
      </c>
      <c r="B1" s="1"/>
      <c r="C1" s="1"/>
      <c r="D1" s="1"/>
      <c r="E1" s="1"/>
      <c r="F1" s="1"/>
      <c r="G1" s="1"/>
      <c r="H1" s="2"/>
      <c r="J1" s="12" t="s">
        <v>544</v>
      </c>
      <c r="K1" s="12" t="s">
        <v>545</v>
      </c>
    </row>
    <row r="2" spans="1:9">
      <c r="A2" s="3" t="s">
        <v>2</v>
      </c>
      <c r="B2" s="3" t="s">
        <v>557</v>
      </c>
      <c r="C2" s="3" t="s">
        <v>6</v>
      </c>
      <c r="D2" s="3" t="s">
        <v>513</v>
      </c>
      <c r="E2" s="3" t="s">
        <v>515</v>
      </c>
      <c r="F2" s="3" t="s">
        <v>517</v>
      </c>
      <c r="G2" s="3" t="s">
        <v>519</v>
      </c>
      <c r="H2" s="4" t="s">
        <v>521</v>
      </c>
      <c r="I2" s="4" t="s">
        <v>522</v>
      </c>
    </row>
    <row r="3" spans="1:9">
      <c r="A3" s="13">
        <v>42919</v>
      </c>
      <c r="B3" s="13"/>
      <c r="C3" s="9">
        <v>50000000</v>
      </c>
      <c r="D3" s="9"/>
      <c r="E3" s="9"/>
      <c r="F3" s="9"/>
      <c r="G3" s="9"/>
      <c r="H3" s="8"/>
      <c r="I3" s="8"/>
    </row>
    <row r="4" spans="1:9">
      <c r="A4" s="13"/>
      <c r="B4" s="13">
        <v>42920</v>
      </c>
      <c r="C4" s="9"/>
      <c r="D4" s="9"/>
      <c r="E4" s="9">
        <v>250000</v>
      </c>
      <c r="F4" s="9">
        <v>2250000</v>
      </c>
      <c r="G4" s="9"/>
      <c r="H4" s="9"/>
      <c r="I4" s="8"/>
    </row>
    <row r="5" spans="1:9">
      <c r="A5" s="13"/>
      <c r="B5" s="13">
        <v>42958</v>
      </c>
      <c r="C5" s="9"/>
      <c r="D5" s="9"/>
      <c r="E5" s="9">
        <v>250000</v>
      </c>
      <c r="F5" s="9"/>
      <c r="G5" s="9"/>
      <c r="H5" s="9"/>
      <c r="I5" s="8"/>
    </row>
    <row r="6" spans="1:9">
      <c r="A6" s="13"/>
      <c r="B6" s="13">
        <v>42989</v>
      </c>
      <c r="C6" s="9"/>
      <c r="D6" s="9"/>
      <c r="E6" s="9">
        <v>250000</v>
      </c>
      <c r="F6" s="9"/>
      <c r="G6" s="9"/>
      <c r="H6" s="9"/>
      <c r="I6" s="8"/>
    </row>
    <row r="7" spans="1:9">
      <c r="A7" s="13"/>
      <c r="B7" s="13">
        <v>43003</v>
      </c>
      <c r="C7" s="9"/>
      <c r="D7" s="9"/>
      <c r="E7" s="9"/>
      <c r="F7" s="9"/>
      <c r="G7" s="9"/>
      <c r="H7" s="9">
        <v>5000000</v>
      </c>
      <c r="I7" s="8"/>
    </row>
    <row r="8" spans="1:9">
      <c r="A8" s="13"/>
      <c r="B8" s="13">
        <v>43018</v>
      </c>
      <c r="C8" s="9"/>
      <c r="D8" s="9"/>
      <c r="E8" s="9">
        <v>250000</v>
      </c>
      <c r="F8" s="9"/>
      <c r="G8" s="9"/>
      <c r="H8" s="9"/>
      <c r="I8" s="8"/>
    </row>
    <row r="9" spans="1:9">
      <c r="A9" s="13"/>
      <c r="B9" s="13">
        <v>43049</v>
      </c>
      <c r="C9" s="9"/>
      <c r="D9" s="9"/>
      <c r="E9" s="9">
        <v>250000</v>
      </c>
      <c r="F9" s="9"/>
      <c r="G9" s="9"/>
      <c r="H9" s="8"/>
      <c r="I9" s="8"/>
    </row>
    <row r="10" spans="1:9">
      <c r="A10" s="13"/>
      <c r="B10" s="13">
        <v>43077</v>
      </c>
      <c r="C10" s="9"/>
      <c r="D10" s="9"/>
      <c r="E10" s="9">
        <v>250000</v>
      </c>
      <c r="F10" s="9"/>
      <c r="G10" s="8"/>
      <c r="H10" s="8"/>
      <c r="I10" s="8"/>
    </row>
    <row r="11" spans="1:9">
      <c r="A11" s="13"/>
      <c r="B11" s="23">
        <v>43098</v>
      </c>
      <c r="C11" s="9"/>
      <c r="D11" s="9">
        <v>50000000</v>
      </c>
      <c r="E11" s="9">
        <v>-8333.33</v>
      </c>
      <c r="F11" s="9">
        <v>-12500</v>
      </c>
      <c r="G11" s="8"/>
      <c r="H11" s="8">
        <v>-5000000</v>
      </c>
      <c r="I11" s="8"/>
    </row>
    <row r="12" spans="1:9">
      <c r="A12" s="13"/>
      <c r="B12" s="13"/>
      <c r="C12" s="9"/>
      <c r="D12" s="9"/>
      <c r="E12" s="9"/>
      <c r="F12" s="9"/>
      <c r="G12" s="8"/>
      <c r="H12" s="8"/>
      <c r="I12" s="8"/>
    </row>
    <row r="13" spans="1:9">
      <c r="A13" s="13"/>
      <c r="B13" s="13"/>
      <c r="C13" s="9"/>
      <c r="D13" s="9"/>
      <c r="E13" s="9"/>
      <c r="F13" s="9"/>
      <c r="G13" s="8"/>
      <c r="H13" s="8"/>
      <c r="I13" s="8"/>
    </row>
    <row r="14" spans="1:9">
      <c r="A14" s="6"/>
      <c r="B14" s="6"/>
      <c r="C14" s="8"/>
      <c r="D14" s="8"/>
      <c r="E14" s="8"/>
      <c r="F14" s="8"/>
      <c r="G14" s="8"/>
      <c r="H14" s="8"/>
      <c r="I14" s="8"/>
    </row>
    <row r="15" spans="1:9">
      <c r="A15" s="6"/>
      <c r="B15" s="6"/>
      <c r="C15" s="8"/>
      <c r="D15" s="8"/>
      <c r="E15" s="8"/>
      <c r="F15" s="8"/>
      <c r="G15" s="8"/>
      <c r="H15" s="8"/>
      <c r="I15" s="8"/>
    </row>
    <row r="16" spans="1:9">
      <c r="A16" s="6"/>
      <c r="B16" s="6"/>
      <c r="C16" s="6"/>
      <c r="D16" s="6"/>
      <c r="E16" s="6"/>
      <c r="F16" s="6"/>
      <c r="G16" s="6"/>
      <c r="H16" s="6"/>
      <c r="I16" s="8"/>
    </row>
    <row r="17" spans="1:9">
      <c r="A17" s="6"/>
      <c r="B17" s="6"/>
      <c r="C17" s="6"/>
      <c r="D17" s="6"/>
      <c r="E17" s="6"/>
      <c r="F17" s="6"/>
      <c r="G17" s="6"/>
      <c r="H17" s="6"/>
      <c r="I17" s="8"/>
    </row>
    <row r="18" spans="1:9">
      <c r="A18" s="6"/>
      <c r="B18" s="6"/>
      <c r="C18" s="6"/>
      <c r="D18" s="6"/>
      <c r="E18" s="6"/>
      <c r="F18" s="6"/>
      <c r="G18" s="6"/>
      <c r="H18" s="6"/>
      <c r="I18" s="8"/>
    </row>
    <row r="19" spans="1:9">
      <c r="A19" t="s">
        <v>558</v>
      </c>
      <c r="C19" s="11">
        <f t="shared" ref="C19:I19" si="0">SUM(C3:C18)</f>
        <v>50000000</v>
      </c>
      <c r="D19" s="11">
        <f t="shared" si="0"/>
        <v>50000000</v>
      </c>
      <c r="E19" s="11">
        <f t="shared" si="0"/>
        <v>1491666.67</v>
      </c>
      <c r="F19" s="11">
        <f t="shared" si="0"/>
        <v>2237500</v>
      </c>
      <c r="G19" s="11">
        <f t="shared" si="0"/>
        <v>0</v>
      </c>
      <c r="H19" s="11">
        <f t="shared" si="0"/>
        <v>0</v>
      </c>
      <c r="I19" s="11">
        <f t="shared" si="0"/>
        <v>0</v>
      </c>
    </row>
  </sheetData>
  <mergeCells count="1">
    <mergeCell ref="A1:G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19"/>
  <sheetViews>
    <sheetView workbookViewId="0">
      <selection activeCell="K1" sqref="K1"/>
    </sheetView>
  </sheetViews>
  <sheetFormatPr defaultColWidth="9" defaultRowHeight="13.5"/>
  <cols>
    <col min="1" max="1" width="10.5" customWidth="1"/>
    <col min="2" max="2" width="12.375" customWidth="1"/>
    <col min="3" max="4" width="17.25" customWidth="1"/>
    <col min="5" max="7" width="16.125" customWidth="1"/>
    <col min="8" max="8" width="17.25" customWidth="1"/>
  </cols>
  <sheetData>
    <row r="1" ht="18.75" spans="1:11">
      <c r="A1" s="1" t="s">
        <v>604</v>
      </c>
      <c r="B1" s="1"/>
      <c r="C1" s="1"/>
      <c r="D1" s="1"/>
      <c r="E1" s="1"/>
      <c r="F1" s="1"/>
      <c r="G1" s="1"/>
      <c r="H1" s="2"/>
      <c r="J1" s="12" t="s">
        <v>544</v>
      </c>
      <c r="K1" s="12" t="s">
        <v>545</v>
      </c>
    </row>
    <row r="2" spans="1:9">
      <c r="A2" s="3" t="s">
        <v>2</v>
      </c>
      <c r="B2" s="3" t="s">
        <v>557</v>
      </c>
      <c r="C2" s="3" t="s">
        <v>6</v>
      </c>
      <c r="D2" s="3" t="s">
        <v>513</v>
      </c>
      <c r="E2" s="3" t="s">
        <v>515</v>
      </c>
      <c r="F2" s="3" t="s">
        <v>517</v>
      </c>
      <c r="G2" s="3" t="s">
        <v>519</v>
      </c>
      <c r="H2" s="4" t="s">
        <v>521</v>
      </c>
      <c r="I2" s="4" t="s">
        <v>522</v>
      </c>
    </row>
    <row r="3" spans="1:9">
      <c r="A3" s="13">
        <v>42930</v>
      </c>
      <c r="B3" s="13"/>
      <c r="C3" s="9">
        <v>50000000</v>
      </c>
      <c r="D3" s="9"/>
      <c r="E3" s="9"/>
      <c r="F3" s="9"/>
      <c r="G3" s="9"/>
      <c r="H3" s="8"/>
      <c r="I3" s="8"/>
    </row>
    <row r="4" spans="1:9">
      <c r="A4" s="13"/>
      <c r="B4" s="13">
        <v>42930</v>
      </c>
      <c r="C4" s="9"/>
      <c r="D4" s="9"/>
      <c r="E4" s="9">
        <v>250000</v>
      </c>
      <c r="F4" s="9">
        <v>2250000</v>
      </c>
      <c r="G4" s="9"/>
      <c r="H4" s="9"/>
      <c r="I4" s="8"/>
    </row>
    <row r="5" spans="1:9">
      <c r="A5" s="13"/>
      <c r="B5" s="13">
        <v>42958</v>
      </c>
      <c r="C5" s="9"/>
      <c r="D5" s="9"/>
      <c r="E5" s="9">
        <v>250000</v>
      </c>
      <c r="F5" s="9"/>
      <c r="G5" s="9"/>
      <c r="H5" s="9"/>
      <c r="I5" s="8"/>
    </row>
    <row r="6" spans="1:9">
      <c r="A6" s="13"/>
      <c r="B6" s="13">
        <v>42989</v>
      </c>
      <c r="C6" s="9"/>
      <c r="D6" s="9"/>
      <c r="E6" s="9">
        <v>250000</v>
      </c>
      <c r="F6" s="9"/>
      <c r="G6" s="9"/>
      <c r="H6" s="9"/>
      <c r="I6" s="8"/>
    </row>
    <row r="7" spans="1:9">
      <c r="A7" s="13"/>
      <c r="B7" s="13">
        <v>43003</v>
      </c>
      <c r="C7" s="9"/>
      <c r="D7" s="9"/>
      <c r="E7" s="9"/>
      <c r="F7" s="9"/>
      <c r="G7" s="9"/>
      <c r="H7" s="9">
        <v>5000000</v>
      </c>
      <c r="I7" s="8"/>
    </row>
    <row r="8" spans="1:9">
      <c r="A8" s="13"/>
      <c r="B8" s="13">
        <v>43018</v>
      </c>
      <c r="C8" s="9"/>
      <c r="D8" s="9"/>
      <c r="E8" s="9">
        <v>250000</v>
      </c>
      <c r="F8" s="9"/>
      <c r="G8" s="9"/>
      <c r="H8" s="9"/>
      <c r="I8" s="8"/>
    </row>
    <row r="9" spans="1:9">
      <c r="A9" s="13"/>
      <c r="B9" s="13">
        <v>43049</v>
      </c>
      <c r="C9" s="9"/>
      <c r="D9" s="9"/>
      <c r="E9" s="9">
        <v>250000</v>
      </c>
      <c r="F9" s="9"/>
      <c r="G9" s="9"/>
      <c r="H9" s="9"/>
      <c r="I9" s="8"/>
    </row>
    <row r="10" spans="1:9">
      <c r="A10" s="13"/>
      <c r="B10" s="13">
        <v>43077</v>
      </c>
      <c r="C10" s="9"/>
      <c r="D10" s="9"/>
      <c r="E10" s="9">
        <v>250000</v>
      </c>
      <c r="F10" s="9"/>
      <c r="G10" s="8"/>
      <c r="H10" s="8"/>
      <c r="I10" s="8"/>
    </row>
    <row r="11" spans="1:9">
      <c r="A11" s="13"/>
      <c r="B11" s="23">
        <v>43109</v>
      </c>
      <c r="C11" s="9"/>
      <c r="D11" s="9">
        <v>50000000</v>
      </c>
      <c r="E11" s="9">
        <v>-8333.33</v>
      </c>
      <c r="F11" s="9">
        <v>-12500</v>
      </c>
      <c r="G11" s="8"/>
      <c r="H11" s="8">
        <v>-5000000</v>
      </c>
      <c r="I11" s="8"/>
    </row>
    <row r="12" spans="1:9">
      <c r="A12" s="13"/>
      <c r="B12" s="13"/>
      <c r="C12" s="9"/>
      <c r="D12" s="9"/>
      <c r="E12" s="9"/>
      <c r="F12" s="9"/>
      <c r="G12" s="8"/>
      <c r="H12" s="8"/>
      <c r="I12" s="8"/>
    </row>
    <row r="13" spans="1:9">
      <c r="A13" s="13"/>
      <c r="B13" s="13"/>
      <c r="C13" s="9"/>
      <c r="D13" s="9"/>
      <c r="E13" s="9"/>
      <c r="F13" s="9"/>
      <c r="G13" s="8"/>
      <c r="H13" s="8"/>
      <c r="I13" s="8"/>
    </row>
    <row r="14" spans="1:9">
      <c r="A14" s="6"/>
      <c r="B14" s="6"/>
      <c r="C14" s="8"/>
      <c r="D14" s="8"/>
      <c r="E14" s="8"/>
      <c r="F14" s="8"/>
      <c r="G14" s="8"/>
      <c r="H14" s="8"/>
      <c r="I14" s="8"/>
    </row>
    <row r="15" spans="1:9">
      <c r="A15" s="6"/>
      <c r="B15" s="6"/>
      <c r="C15" s="8"/>
      <c r="D15" s="8"/>
      <c r="E15" s="8"/>
      <c r="F15" s="8"/>
      <c r="G15" s="8"/>
      <c r="H15" s="8"/>
      <c r="I15" s="8"/>
    </row>
    <row r="16" spans="1:9">
      <c r="A16" s="6"/>
      <c r="B16" s="6"/>
      <c r="C16" s="6"/>
      <c r="D16" s="6"/>
      <c r="E16" s="6"/>
      <c r="F16" s="6"/>
      <c r="G16" s="6"/>
      <c r="H16" s="6"/>
      <c r="I16" s="8"/>
    </row>
    <row r="17" spans="1:9">
      <c r="A17" s="6"/>
      <c r="B17" s="6"/>
      <c r="C17" s="6"/>
      <c r="D17" s="6"/>
      <c r="E17" s="6"/>
      <c r="F17" s="6"/>
      <c r="G17" s="6"/>
      <c r="H17" s="6"/>
      <c r="I17" s="8"/>
    </row>
    <row r="18" spans="1:9">
      <c r="A18" s="6"/>
      <c r="B18" s="6"/>
      <c r="C18" s="6"/>
      <c r="D18" s="6"/>
      <c r="E18" s="6"/>
      <c r="F18" s="6"/>
      <c r="G18" s="6"/>
      <c r="H18" s="6"/>
      <c r="I18" s="8"/>
    </row>
    <row r="19" spans="1:9">
      <c r="A19" t="s">
        <v>558</v>
      </c>
      <c r="C19" s="11">
        <f t="shared" ref="C19:I19" si="0">SUM(C3:C18)</f>
        <v>50000000</v>
      </c>
      <c r="D19" s="11">
        <f t="shared" si="0"/>
        <v>50000000</v>
      </c>
      <c r="E19" s="11">
        <f t="shared" si="0"/>
        <v>1491666.67</v>
      </c>
      <c r="F19" s="11">
        <f t="shared" si="0"/>
        <v>2237500</v>
      </c>
      <c r="G19" s="11">
        <f t="shared" si="0"/>
        <v>0</v>
      </c>
      <c r="H19" s="11">
        <f t="shared" si="0"/>
        <v>0</v>
      </c>
      <c r="I19" s="11">
        <f t="shared" si="0"/>
        <v>0</v>
      </c>
    </row>
  </sheetData>
  <mergeCells count="1">
    <mergeCell ref="A1:G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19"/>
  <sheetViews>
    <sheetView workbookViewId="0">
      <selection activeCell="J1" sqref="J1"/>
    </sheetView>
  </sheetViews>
  <sheetFormatPr defaultColWidth="9" defaultRowHeight="13.5"/>
  <cols>
    <col min="1" max="1" width="10.5" customWidth="1"/>
    <col min="2" max="2" width="12.375" customWidth="1"/>
    <col min="3" max="4" width="17.25" customWidth="1"/>
    <col min="5" max="8" width="16.125" customWidth="1"/>
  </cols>
  <sheetData>
    <row r="1" ht="18.75" spans="1:11">
      <c r="A1" s="1" t="s">
        <v>605</v>
      </c>
      <c r="B1" s="1"/>
      <c r="C1" s="1"/>
      <c r="D1" s="1"/>
      <c r="E1" s="1"/>
      <c r="F1" s="1"/>
      <c r="G1" s="1"/>
      <c r="H1" s="2"/>
      <c r="J1" s="12" t="s">
        <v>544</v>
      </c>
      <c r="K1" s="12" t="s">
        <v>545</v>
      </c>
    </row>
    <row r="2" spans="1:9">
      <c r="A2" s="3" t="s">
        <v>2</v>
      </c>
      <c r="B2" s="3" t="s">
        <v>557</v>
      </c>
      <c r="C2" s="3" t="s">
        <v>6</v>
      </c>
      <c r="D2" s="3" t="s">
        <v>513</v>
      </c>
      <c r="E2" s="3" t="s">
        <v>515</v>
      </c>
      <c r="F2" s="3" t="s">
        <v>517</v>
      </c>
      <c r="G2" s="3" t="s">
        <v>519</v>
      </c>
      <c r="H2" s="4" t="s">
        <v>521</v>
      </c>
      <c r="I2" s="4" t="s">
        <v>522</v>
      </c>
    </row>
    <row r="3" spans="1:9">
      <c r="A3" s="13">
        <v>42906</v>
      </c>
      <c r="B3" s="13"/>
      <c r="C3" s="9">
        <v>10000000</v>
      </c>
      <c r="D3" s="9"/>
      <c r="E3" s="9"/>
      <c r="F3" s="9"/>
      <c r="G3" s="8"/>
      <c r="H3" s="8"/>
      <c r="I3" s="8"/>
    </row>
    <row r="4" spans="1:9">
      <c r="A4" s="13"/>
      <c r="B4" s="13">
        <v>42907</v>
      </c>
      <c r="C4" s="9"/>
      <c r="D4" s="9"/>
      <c r="E4" s="9">
        <v>75000</v>
      </c>
      <c r="F4" s="9">
        <v>350000</v>
      </c>
      <c r="G4" s="8"/>
      <c r="H4" s="8"/>
      <c r="I4" s="8"/>
    </row>
    <row r="5" spans="1:9">
      <c r="A5" s="13"/>
      <c r="B5" s="13">
        <v>42936</v>
      </c>
      <c r="C5" s="9"/>
      <c r="D5" s="9"/>
      <c r="E5" s="9">
        <v>75000</v>
      </c>
      <c r="F5" s="9"/>
      <c r="G5" s="8"/>
      <c r="H5" s="8"/>
      <c r="I5" s="8"/>
    </row>
    <row r="6" spans="1:9">
      <c r="A6" s="13"/>
      <c r="B6" s="13">
        <v>42964</v>
      </c>
      <c r="C6" s="9"/>
      <c r="D6" s="9"/>
      <c r="E6" s="9">
        <v>75000</v>
      </c>
      <c r="F6" s="9"/>
      <c r="G6" s="8"/>
      <c r="H6" s="8"/>
      <c r="I6" s="8"/>
    </row>
    <row r="7" spans="1:9">
      <c r="A7" s="13"/>
      <c r="B7" s="13">
        <v>42998</v>
      </c>
      <c r="C7" s="9"/>
      <c r="D7" s="9"/>
      <c r="E7" s="9">
        <v>75000</v>
      </c>
      <c r="F7" s="9"/>
      <c r="G7" s="8"/>
      <c r="H7" s="8"/>
      <c r="I7" s="8"/>
    </row>
    <row r="8" spans="1:9">
      <c r="A8" s="13"/>
      <c r="B8" s="13">
        <v>43028</v>
      </c>
      <c r="C8" s="9"/>
      <c r="D8" s="9"/>
      <c r="E8" s="9">
        <v>75000</v>
      </c>
      <c r="F8" s="9"/>
      <c r="G8" s="8"/>
      <c r="H8" s="8"/>
      <c r="I8" s="8"/>
    </row>
    <row r="9" spans="1:9">
      <c r="A9" s="13"/>
      <c r="B9" s="13">
        <v>43059</v>
      </c>
      <c r="C9" s="9"/>
      <c r="D9" s="9"/>
      <c r="E9" s="9">
        <v>75000</v>
      </c>
      <c r="F9" s="9"/>
      <c r="G9" s="8"/>
      <c r="H9" s="8"/>
      <c r="I9" s="8"/>
    </row>
    <row r="10" spans="1:9">
      <c r="A10" s="13"/>
      <c r="B10" s="13">
        <v>43088</v>
      </c>
      <c r="C10" s="9"/>
      <c r="D10" s="9"/>
      <c r="E10" s="9">
        <v>75000</v>
      </c>
      <c r="F10" s="9">
        <v>350000</v>
      </c>
      <c r="G10" s="8"/>
      <c r="H10" s="8"/>
      <c r="I10" s="8"/>
    </row>
    <row r="11" spans="1:9">
      <c r="A11" s="13"/>
      <c r="B11" s="13"/>
      <c r="C11" s="9"/>
      <c r="D11" s="9"/>
      <c r="E11" s="9"/>
      <c r="F11" s="9"/>
      <c r="G11" s="8"/>
      <c r="H11" s="8"/>
      <c r="I11" s="8"/>
    </row>
    <row r="12" spans="1:9">
      <c r="A12" s="13"/>
      <c r="B12" s="13"/>
      <c r="C12" s="9"/>
      <c r="D12" s="9"/>
      <c r="E12" s="9"/>
      <c r="F12" s="9"/>
      <c r="G12" s="8"/>
      <c r="H12" s="8"/>
      <c r="I12" s="8"/>
    </row>
    <row r="13" spans="1:9">
      <c r="A13" s="13"/>
      <c r="B13" s="13"/>
      <c r="C13" s="9"/>
      <c r="D13" s="9"/>
      <c r="E13" s="9"/>
      <c r="F13" s="9"/>
      <c r="G13" s="8"/>
      <c r="H13" s="8"/>
      <c r="I13" s="8"/>
    </row>
    <row r="14" spans="1:9">
      <c r="A14" s="6"/>
      <c r="B14" s="6"/>
      <c r="C14" s="8"/>
      <c r="D14" s="8"/>
      <c r="E14" s="8"/>
      <c r="F14" s="8"/>
      <c r="G14" s="8"/>
      <c r="H14" s="8"/>
      <c r="I14" s="8"/>
    </row>
    <row r="15" spans="1:9">
      <c r="A15" s="6"/>
      <c r="B15" s="6"/>
      <c r="C15" s="8"/>
      <c r="D15" s="8"/>
      <c r="E15" s="8"/>
      <c r="F15" s="8"/>
      <c r="G15" s="8"/>
      <c r="H15" s="8"/>
      <c r="I15" s="8"/>
    </row>
    <row r="16" spans="1:9">
      <c r="A16" s="6"/>
      <c r="B16" s="6"/>
      <c r="C16" s="6"/>
      <c r="D16" s="6"/>
      <c r="E16" s="6"/>
      <c r="F16" s="6"/>
      <c r="G16" s="6"/>
      <c r="H16" s="6"/>
      <c r="I16" s="8"/>
    </row>
    <row r="17" spans="1:9">
      <c r="A17" s="6"/>
      <c r="B17" s="6"/>
      <c r="C17" s="6"/>
      <c r="D17" s="6"/>
      <c r="E17" s="6"/>
      <c r="F17" s="6"/>
      <c r="G17" s="6"/>
      <c r="H17" s="6"/>
      <c r="I17" s="8"/>
    </row>
    <row r="18" spans="1:9">
      <c r="A18" s="6"/>
      <c r="B18" s="6"/>
      <c r="C18" s="6"/>
      <c r="D18" s="6"/>
      <c r="E18" s="6"/>
      <c r="F18" s="6"/>
      <c r="G18" s="6"/>
      <c r="H18" s="6"/>
      <c r="I18" s="8"/>
    </row>
    <row r="19" spans="1:9">
      <c r="A19" t="s">
        <v>558</v>
      </c>
      <c r="C19" s="11">
        <f t="shared" ref="C19:I19" si="0">SUM(C3:C18)</f>
        <v>10000000</v>
      </c>
      <c r="D19" s="11">
        <f t="shared" si="0"/>
        <v>0</v>
      </c>
      <c r="E19" s="11">
        <f t="shared" si="0"/>
        <v>525000</v>
      </c>
      <c r="F19" s="11">
        <f t="shared" si="0"/>
        <v>700000</v>
      </c>
      <c r="G19" s="11">
        <f t="shared" si="0"/>
        <v>0</v>
      </c>
      <c r="H19" s="11">
        <f t="shared" si="0"/>
        <v>0</v>
      </c>
      <c r="I19" s="11">
        <f t="shared" si="0"/>
        <v>0</v>
      </c>
    </row>
  </sheetData>
  <mergeCells count="1">
    <mergeCell ref="A1:G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M17"/>
  <sheetViews>
    <sheetView workbookViewId="0">
      <selection activeCell="J1" sqref="J1"/>
    </sheetView>
  </sheetViews>
  <sheetFormatPr defaultColWidth="9" defaultRowHeight="13.5"/>
  <cols>
    <col min="1" max="1" width="10.5" customWidth="1"/>
    <col min="2" max="2" width="12.375" customWidth="1"/>
    <col min="3" max="4" width="17.25" customWidth="1"/>
    <col min="5" max="8" width="16.125" customWidth="1"/>
    <col min="11" max="11" width="11" customWidth="1"/>
  </cols>
  <sheetData>
    <row r="1" ht="18.75" spans="1:11">
      <c r="A1" s="1" t="s">
        <v>606</v>
      </c>
      <c r="B1" s="1"/>
      <c r="C1" s="1"/>
      <c r="D1" s="1"/>
      <c r="E1" s="1"/>
      <c r="F1" s="1"/>
      <c r="G1" s="1"/>
      <c r="H1" s="2"/>
      <c r="J1" s="12" t="s">
        <v>544</v>
      </c>
      <c r="K1" s="12" t="s">
        <v>545</v>
      </c>
    </row>
    <row r="2" spans="1:9">
      <c r="A2" s="3" t="s">
        <v>2</v>
      </c>
      <c r="B2" s="3" t="s">
        <v>557</v>
      </c>
      <c r="C2" s="3" t="s">
        <v>6</v>
      </c>
      <c r="D2" s="3" t="s">
        <v>513</v>
      </c>
      <c r="E2" s="3" t="s">
        <v>515</v>
      </c>
      <c r="F2" s="3" t="s">
        <v>517</v>
      </c>
      <c r="G2" s="3" t="s">
        <v>519</v>
      </c>
      <c r="H2" s="4" t="s">
        <v>521</v>
      </c>
      <c r="I2" s="4" t="s">
        <v>522</v>
      </c>
    </row>
    <row r="3" spans="1:9">
      <c r="A3" s="13">
        <v>42902</v>
      </c>
      <c r="B3" s="13">
        <v>42902</v>
      </c>
      <c r="C3" s="9">
        <v>30000000</v>
      </c>
      <c r="D3" s="9"/>
      <c r="E3" s="9">
        <v>180000</v>
      </c>
      <c r="F3" s="9"/>
      <c r="G3" s="9">
        <v>195000</v>
      </c>
      <c r="H3" s="8"/>
      <c r="I3" s="8"/>
    </row>
    <row r="4" spans="1:9">
      <c r="A4" s="13"/>
      <c r="B4" s="13">
        <v>42936</v>
      </c>
      <c r="C4" s="9"/>
      <c r="D4" s="9"/>
      <c r="E4" s="9">
        <v>180000</v>
      </c>
      <c r="F4" s="9"/>
      <c r="G4" s="9">
        <v>195000</v>
      </c>
      <c r="H4" s="8"/>
      <c r="I4" s="8"/>
    </row>
    <row r="5" spans="1:9">
      <c r="A5" s="13"/>
      <c r="B5" s="13">
        <v>42965</v>
      </c>
      <c r="C5" s="9"/>
      <c r="D5" s="9"/>
      <c r="E5" s="9">
        <v>180000</v>
      </c>
      <c r="F5" s="9"/>
      <c r="G5" s="9">
        <v>195000</v>
      </c>
      <c r="H5" s="8"/>
      <c r="I5" s="8"/>
    </row>
    <row r="6" spans="1:9">
      <c r="A6" s="13"/>
      <c r="B6" s="23">
        <v>42998</v>
      </c>
      <c r="C6" s="9"/>
      <c r="D6" s="9"/>
      <c r="E6" s="9">
        <v>180000</v>
      </c>
      <c r="F6" s="9"/>
      <c r="G6" s="9">
        <v>195000</v>
      </c>
      <c r="H6" s="8"/>
      <c r="I6" s="8"/>
    </row>
    <row r="7" spans="1:9">
      <c r="A7" s="13"/>
      <c r="B7" s="13">
        <v>43028</v>
      </c>
      <c r="C7" s="9"/>
      <c r="D7" s="9"/>
      <c r="E7" s="9">
        <v>180000</v>
      </c>
      <c r="F7" s="9"/>
      <c r="G7" s="9">
        <v>195000</v>
      </c>
      <c r="H7" s="8"/>
      <c r="I7" s="8"/>
    </row>
    <row r="8" spans="1:9">
      <c r="A8" s="6"/>
      <c r="B8" s="6">
        <v>43059</v>
      </c>
      <c r="C8" s="8"/>
      <c r="D8" s="8"/>
      <c r="E8" s="9">
        <v>180000</v>
      </c>
      <c r="F8" s="9"/>
      <c r="G8" s="9">
        <v>195000</v>
      </c>
      <c r="H8" s="8"/>
      <c r="I8" s="8"/>
    </row>
    <row r="9" spans="1:9">
      <c r="A9" s="6"/>
      <c r="B9" s="6">
        <v>43089</v>
      </c>
      <c r="C9" s="8"/>
      <c r="D9" s="8"/>
      <c r="E9" s="9">
        <v>180000</v>
      </c>
      <c r="F9" s="9"/>
      <c r="G9" s="9">
        <v>195000</v>
      </c>
      <c r="H9" s="8"/>
      <c r="I9" s="8"/>
    </row>
    <row r="10" spans="1:9">
      <c r="A10" s="6"/>
      <c r="B10" s="6"/>
      <c r="C10" s="6"/>
      <c r="D10" s="6"/>
      <c r="E10" s="6"/>
      <c r="F10" s="6"/>
      <c r="G10" s="6"/>
      <c r="H10" s="8"/>
      <c r="I10" s="8"/>
    </row>
    <row r="11" spans="1:9">
      <c r="A11" s="6"/>
      <c r="B11" s="6"/>
      <c r="C11" s="6"/>
      <c r="D11" s="6"/>
      <c r="E11" s="6"/>
      <c r="F11" s="6"/>
      <c r="G11" s="6"/>
      <c r="H11" s="8"/>
      <c r="I11" s="8"/>
    </row>
    <row r="12" spans="1:9">
      <c r="A12" s="6"/>
      <c r="B12" s="6"/>
      <c r="C12" s="6"/>
      <c r="D12" s="6"/>
      <c r="E12" s="6"/>
      <c r="F12" s="6"/>
      <c r="G12" s="6"/>
      <c r="H12" s="8"/>
      <c r="I12" s="8"/>
    </row>
    <row r="13" spans="1:9">
      <c r="A13" t="s">
        <v>558</v>
      </c>
      <c r="C13" s="11">
        <f t="shared" ref="C13:I13" si="0">SUM(C3:C12)</f>
        <v>30000000</v>
      </c>
      <c r="D13" s="11">
        <f t="shared" si="0"/>
        <v>0</v>
      </c>
      <c r="E13" s="11">
        <f t="shared" si="0"/>
        <v>1260000</v>
      </c>
      <c r="F13" s="11">
        <f t="shared" si="0"/>
        <v>0</v>
      </c>
      <c r="G13" s="11">
        <f t="shared" si="0"/>
        <v>1365000</v>
      </c>
      <c r="H13" s="11">
        <f t="shared" si="0"/>
        <v>0</v>
      </c>
      <c r="I13" s="11">
        <f t="shared" si="0"/>
        <v>0</v>
      </c>
    </row>
    <row r="17" spans="13:13">
      <c r="M17">
        <f>3000*0.07</f>
        <v>210</v>
      </c>
    </row>
  </sheetData>
  <mergeCells count="1">
    <mergeCell ref="A1:G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12"/>
  <sheetViews>
    <sheetView workbookViewId="0">
      <selection activeCell="J1" sqref="J1"/>
    </sheetView>
  </sheetViews>
  <sheetFormatPr defaultColWidth="9" defaultRowHeight="13.5"/>
  <cols>
    <col min="1" max="1" width="10.5" customWidth="1"/>
    <col min="2" max="2" width="12.375" customWidth="1"/>
    <col min="3" max="4" width="17.25" customWidth="1"/>
    <col min="5" max="8" width="16.125" customWidth="1"/>
  </cols>
  <sheetData>
    <row r="1" ht="18.75" spans="1:11">
      <c r="A1" s="1" t="s">
        <v>607</v>
      </c>
      <c r="B1" s="1"/>
      <c r="C1" s="1"/>
      <c r="D1" s="1"/>
      <c r="E1" s="1"/>
      <c r="F1" s="1"/>
      <c r="G1" s="1"/>
      <c r="H1" s="2"/>
      <c r="J1" s="12" t="s">
        <v>544</v>
      </c>
      <c r="K1" s="12" t="s">
        <v>545</v>
      </c>
    </row>
    <row r="2" spans="1:9">
      <c r="A2" s="3" t="s">
        <v>2</v>
      </c>
      <c r="B2" s="3" t="s">
        <v>557</v>
      </c>
      <c r="C2" s="3" t="s">
        <v>6</v>
      </c>
      <c r="D2" s="3" t="s">
        <v>513</v>
      </c>
      <c r="E2" s="3" t="s">
        <v>515</v>
      </c>
      <c r="F2" s="3" t="s">
        <v>517</v>
      </c>
      <c r="G2" s="3" t="s">
        <v>519</v>
      </c>
      <c r="H2" s="4" t="s">
        <v>521</v>
      </c>
      <c r="I2" s="4" t="s">
        <v>522</v>
      </c>
    </row>
    <row r="3" spans="1:9">
      <c r="A3" s="13">
        <v>42922</v>
      </c>
      <c r="B3" s="13">
        <v>42922</v>
      </c>
      <c r="C3" s="9">
        <v>50000000</v>
      </c>
      <c r="D3" s="9"/>
      <c r="E3" s="9">
        <v>300000</v>
      </c>
      <c r="F3" s="9"/>
      <c r="G3" s="9">
        <v>325000</v>
      </c>
      <c r="H3" s="8"/>
      <c r="I3" s="8"/>
    </row>
    <row r="4" spans="1:9">
      <c r="A4" s="13"/>
      <c r="B4" s="13">
        <v>42958</v>
      </c>
      <c r="C4" s="9"/>
      <c r="D4" s="9"/>
      <c r="E4" s="9">
        <v>300000</v>
      </c>
      <c r="F4" s="9"/>
      <c r="G4" s="9">
        <v>325000</v>
      </c>
      <c r="H4" s="8"/>
      <c r="I4" s="8"/>
    </row>
    <row r="5" spans="1:9">
      <c r="A5" s="13"/>
      <c r="B5" s="13">
        <v>42989</v>
      </c>
      <c r="C5" s="9"/>
      <c r="D5" s="9"/>
      <c r="E5" s="9">
        <v>300000</v>
      </c>
      <c r="F5" s="9"/>
      <c r="G5" s="9">
        <v>325000</v>
      </c>
      <c r="H5" s="8"/>
      <c r="I5" s="8"/>
    </row>
    <row r="6" spans="1:9">
      <c r="A6" s="13"/>
      <c r="B6" s="13">
        <v>43018</v>
      </c>
      <c r="C6" s="9"/>
      <c r="D6" s="9"/>
      <c r="E6" s="9">
        <v>300000</v>
      </c>
      <c r="F6" s="9"/>
      <c r="G6" s="9">
        <v>325000</v>
      </c>
      <c r="H6" s="8"/>
      <c r="I6" s="8"/>
    </row>
    <row r="7" spans="1:9">
      <c r="A7" s="6"/>
      <c r="B7" s="6">
        <v>43049</v>
      </c>
      <c r="C7" s="8"/>
      <c r="D7" s="8"/>
      <c r="E7" s="9">
        <v>300000</v>
      </c>
      <c r="F7" s="9"/>
      <c r="G7" s="9">
        <v>325000</v>
      </c>
      <c r="H7" s="8"/>
      <c r="I7" s="8"/>
    </row>
    <row r="8" spans="1:9">
      <c r="A8" s="6"/>
      <c r="B8" s="6">
        <v>43077</v>
      </c>
      <c r="C8" s="8"/>
      <c r="D8" s="8"/>
      <c r="E8" s="9">
        <v>300000</v>
      </c>
      <c r="F8" s="9"/>
      <c r="G8" s="9">
        <v>325000</v>
      </c>
      <c r="H8" s="8"/>
      <c r="I8" s="8"/>
    </row>
    <row r="9" spans="1:9">
      <c r="A9" s="6"/>
      <c r="B9" s="6"/>
      <c r="C9" s="6"/>
      <c r="D9" s="6"/>
      <c r="E9" s="6"/>
      <c r="F9" s="6"/>
      <c r="G9" s="6"/>
      <c r="H9" s="6"/>
      <c r="I9" s="8"/>
    </row>
    <row r="10" spans="1:9">
      <c r="A10" s="6"/>
      <c r="B10" s="6"/>
      <c r="C10" s="6"/>
      <c r="D10" s="6"/>
      <c r="E10" s="6"/>
      <c r="F10" s="6"/>
      <c r="G10" s="6"/>
      <c r="H10" s="6"/>
      <c r="I10" s="8"/>
    </row>
    <row r="11" spans="1:9">
      <c r="A11" s="6"/>
      <c r="B11" s="6"/>
      <c r="C11" s="6"/>
      <c r="D11" s="6"/>
      <c r="E11" s="6"/>
      <c r="F11" s="6"/>
      <c r="G11" s="6"/>
      <c r="H11" s="6"/>
      <c r="I11" s="8"/>
    </row>
    <row r="12" spans="1:9">
      <c r="A12" t="s">
        <v>558</v>
      </c>
      <c r="C12" s="11">
        <f t="shared" ref="C12:I12" si="0">SUM(C3:C11)</f>
        <v>50000000</v>
      </c>
      <c r="D12" s="11">
        <f t="shared" si="0"/>
        <v>0</v>
      </c>
      <c r="E12" s="11">
        <f t="shared" si="0"/>
        <v>1800000</v>
      </c>
      <c r="F12" s="11">
        <f t="shared" si="0"/>
        <v>0</v>
      </c>
      <c r="G12" s="11">
        <f t="shared" si="0"/>
        <v>1950000</v>
      </c>
      <c r="H12" s="11">
        <f t="shared" si="0"/>
        <v>0</v>
      </c>
      <c r="I12" s="11">
        <f t="shared" si="0"/>
        <v>0</v>
      </c>
    </row>
  </sheetData>
  <mergeCells count="1">
    <mergeCell ref="A1:G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12"/>
  <sheetViews>
    <sheetView workbookViewId="0">
      <selection activeCell="F20" sqref="F20"/>
    </sheetView>
  </sheetViews>
  <sheetFormatPr defaultColWidth="9" defaultRowHeight="13.5"/>
  <cols>
    <col min="1" max="1" width="10.5" customWidth="1"/>
    <col min="2" max="2" width="12.375" customWidth="1"/>
    <col min="3" max="4" width="17.25" customWidth="1"/>
    <col min="5" max="8" width="16.125" customWidth="1"/>
  </cols>
  <sheetData>
    <row r="1" ht="18.75" spans="1:11">
      <c r="A1" s="1" t="s">
        <v>608</v>
      </c>
      <c r="B1" s="1"/>
      <c r="C1" s="1"/>
      <c r="D1" s="1"/>
      <c r="E1" s="1"/>
      <c r="F1" s="1"/>
      <c r="G1" s="1"/>
      <c r="H1" s="2"/>
      <c r="J1" s="12" t="s">
        <v>544</v>
      </c>
      <c r="K1" s="12" t="s">
        <v>545</v>
      </c>
    </row>
    <row r="2" spans="1:9">
      <c r="A2" s="3" t="s">
        <v>2</v>
      </c>
      <c r="B2" s="3" t="s">
        <v>557</v>
      </c>
      <c r="C2" s="3" t="s">
        <v>6</v>
      </c>
      <c r="D2" s="3" t="s">
        <v>513</v>
      </c>
      <c r="E2" s="3" t="s">
        <v>515</v>
      </c>
      <c r="F2" s="3" t="s">
        <v>517</v>
      </c>
      <c r="G2" s="3" t="s">
        <v>519</v>
      </c>
      <c r="H2" s="4" t="s">
        <v>521</v>
      </c>
      <c r="I2" s="4" t="s">
        <v>522</v>
      </c>
    </row>
    <row r="3" spans="1:9">
      <c r="A3" s="13">
        <v>42921</v>
      </c>
      <c r="B3" s="13">
        <v>42921</v>
      </c>
      <c r="C3" s="9">
        <v>50000000</v>
      </c>
      <c r="D3" s="9"/>
      <c r="E3" s="9">
        <v>300000</v>
      </c>
      <c r="F3" s="9"/>
      <c r="G3" s="9">
        <v>325000</v>
      </c>
      <c r="H3" s="8"/>
      <c r="I3" s="8"/>
    </row>
    <row r="4" spans="1:9">
      <c r="A4" s="13"/>
      <c r="B4" s="13">
        <v>42958</v>
      </c>
      <c r="C4" s="9"/>
      <c r="D4" s="9"/>
      <c r="E4" s="9">
        <v>300000</v>
      </c>
      <c r="F4" s="9"/>
      <c r="G4" s="9">
        <v>325000</v>
      </c>
      <c r="H4" s="8"/>
      <c r="I4" s="8"/>
    </row>
    <row r="5" spans="1:9">
      <c r="A5" s="13"/>
      <c r="B5" s="13">
        <v>42989</v>
      </c>
      <c r="C5" s="9"/>
      <c r="D5" s="9"/>
      <c r="E5" s="9">
        <v>300000</v>
      </c>
      <c r="F5" s="9"/>
      <c r="G5" s="9">
        <v>325000</v>
      </c>
      <c r="H5" s="8"/>
      <c r="I5" s="8"/>
    </row>
    <row r="6" spans="1:9">
      <c r="A6" s="13"/>
      <c r="B6" s="13">
        <v>43018</v>
      </c>
      <c r="C6" s="9"/>
      <c r="D6" s="9"/>
      <c r="E6" s="9">
        <v>300000</v>
      </c>
      <c r="F6" s="9"/>
      <c r="G6" s="9">
        <v>325000</v>
      </c>
      <c r="H6" s="8"/>
      <c r="I6" s="8"/>
    </row>
    <row r="7" spans="1:9">
      <c r="A7" s="6"/>
      <c r="B7" s="6">
        <v>43049</v>
      </c>
      <c r="C7" s="8"/>
      <c r="D7" s="8"/>
      <c r="E7" s="9">
        <v>300000</v>
      </c>
      <c r="F7" s="9"/>
      <c r="G7" s="9">
        <v>325000</v>
      </c>
      <c r="H7" s="8"/>
      <c r="I7" s="8"/>
    </row>
    <row r="8" spans="1:9">
      <c r="A8" s="6"/>
      <c r="B8" s="6">
        <v>43077</v>
      </c>
      <c r="C8" s="8"/>
      <c r="D8" s="8"/>
      <c r="E8" s="9">
        <v>300000</v>
      </c>
      <c r="F8" s="9"/>
      <c r="G8" s="9">
        <v>325000</v>
      </c>
      <c r="H8" s="8"/>
      <c r="I8" s="8"/>
    </row>
    <row r="9" spans="1:9">
      <c r="A9" s="6"/>
      <c r="B9" s="6"/>
      <c r="C9" s="6"/>
      <c r="D9" s="6"/>
      <c r="E9" s="6"/>
      <c r="F9" s="6"/>
      <c r="G9" s="6"/>
      <c r="H9" s="6"/>
      <c r="I9" s="8"/>
    </row>
    <row r="10" spans="1:9">
      <c r="A10" s="6"/>
      <c r="B10" s="6"/>
      <c r="C10" s="6"/>
      <c r="D10" s="6"/>
      <c r="E10" s="6"/>
      <c r="F10" s="6"/>
      <c r="G10" s="6"/>
      <c r="H10" s="6"/>
      <c r="I10" s="8"/>
    </row>
    <row r="11" spans="1:9">
      <c r="A11" s="6"/>
      <c r="B11" s="6"/>
      <c r="C11" s="6"/>
      <c r="D11" s="6"/>
      <c r="E11" s="6"/>
      <c r="F11" s="6"/>
      <c r="G11" s="6"/>
      <c r="H11" s="6"/>
      <c r="I11" s="8"/>
    </row>
    <row r="12" spans="1:9">
      <c r="A12" t="s">
        <v>558</v>
      </c>
      <c r="C12" s="11">
        <f t="shared" ref="C12:I12" si="0">SUM(C3:C11)</f>
        <v>50000000</v>
      </c>
      <c r="D12" s="11">
        <f t="shared" si="0"/>
        <v>0</v>
      </c>
      <c r="E12" s="11">
        <f t="shared" si="0"/>
        <v>1800000</v>
      </c>
      <c r="F12" s="11">
        <f t="shared" si="0"/>
        <v>0</v>
      </c>
      <c r="G12" s="11">
        <f t="shared" si="0"/>
        <v>1950000</v>
      </c>
      <c r="H12" s="11">
        <f t="shared" si="0"/>
        <v>0</v>
      </c>
      <c r="I12" s="11">
        <f t="shared" si="0"/>
        <v>0</v>
      </c>
    </row>
  </sheetData>
  <mergeCells count="1">
    <mergeCell ref="A1:G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19"/>
  <sheetViews>
    <sheetView workbookViewId="0">
      <selection activeCell="J1" sqref="J1"/>
    </sheetView>
  </sheetViews>
  <sheetFormatPr defaultColWidth="9" defaultRowHeight="13.5"/>
  <cols>
    <col min="1" max="1" width="10.5" customWidth="1"/>
    <col min="2" max="2" width="11.625" customWidth="1"/>
    <col min="3" max="5" width="17.25" customWidth="1"/>
    <col min="6" max="8" width="16.125" customWidth="1"/>
  </cols>
  <sheetData>
    <row r="1" ht="18.75" spans="1:11">
      <c r="A1" s="1" t="s">
        <v>609</v>
      </c>
      <c r="B1" s="1"/>
      <c r="C1" s="1"/>
      <c r="D1" s="1"/>
      <c r="E1" s="1"/>
      <c r="F1" s="1"/>
      <c r="G1" s="1"/>
      <c r="H1" s="2"/>
      <c r="J1" s="12" t="s">
        <v>544</v>
      </c>
      <c r="K1" s="12" t="s">
        <v>545</v>
      </c>
    </row>
    <row r="2" spans="1:9">
      <c r="A2" s="3" t="s">
        <v>2</v>
      </c>
      <c r="B2" s="3" t="s">
        <v>557</v>
      </c>
      <c r="C2" s="3" t="s">
        <v>6</v>
      </c>
      <c r="D2" s="3" t="s">
        <v>513</v>
      </c>
      <c r="E2" s="3" t="s">
        <v>515</v>
      </c>
      <c r="F2" s="3" t="s">
        <v>517</v>
      </c>
      <c r="G2" s="3" t="s">
        <v>519</v>
      </c>
      <c r="H2" s="4" t="s">
        <v>521</v>
      </c>
      <c r="I2" s="4" t="s">
        <v>522</v>
      </c>
    </row>
    <row r="3" spans="1:9">
      <c r="A3" s="13">
        <v>42886</v>
      </c>
      <c r="B3" s="13"/>
      <c r="C3" s="8">
        <v>30000000</v>
      </c>
      <c r="D3" s="8"/>
      <c r="E3" s="8"/>
      <c r="F3" s="8"/>
      <c r="G3" s="8"/>
      <c r="H3" s="8"/>
      <c r="I3" s="8"/>
    </row>
    <row r="4" spans="1:9">
      <c r="A4" s="6"/>
      <c r="B4" s="6">
        <v>42887</v>
      </c>
      <c r="C4" s="8"/>
      <c r="D4" s="8"/>
      <c r="E4" s="8">
        <v>900000</v>
      </c>
      <c r="F4" s="8">
        <v>900000</v>
      </c>
      <c r="G4" s="8"/>
      <c r="H4" s="8"/>
      <c r="I4" s="8"/>
    </row>
    <row r="5" spans="1:9">
      <c r="A5" s="6"/>
      <c r="B5" s="13">
        <v>43049</v>
      </c>
      <c r="C5" s="8"/>
      <c r="D5" s="8"/>
      <c r="E5" s="8">
        <v>1800000</v>
      </c>
      <c r="F5" s="8">
        <v>1800000</v>
      </c>
      <c r="G5" s="8"/>
      <c r="H5" s="8"/>
      <c r="I5" s="8"/>
    </row>
    <row r="6" spans="1:9">
      <c r="A6" s="6"/>
      <c r="B6" s="6"/>
      <c r="C6" s="8"/>
      <c r="D6" s="8"/>
      <c r="E6" s="8"/>
      <c r="F6" s="8"/>
      <c r="G6" s="8"/>
      <c r="H6" s="8"/>
      <c r="I6" s="8"/>
    </row>
    <row r="7" spans="1:9">
      <c r="A7" s="6"/>
      <c r="B7" s="6"/>
      <c r="C7" s="8"/>
      <c r="D7" s="8"/>
      <c r="E7" s="8"/>
      <c r="F7" s="8"/>
      <c r="G7" s="8"/>
      <c r="H7" s="8"/>
      <c r="I7" s="8"/>
    </row>
    <row r="8" spans="1:9">
      <c r="A8" s="6"/>
      <c r="B8" s="6"/>
      <c r="C8" s="8"/>
      <c r="D8" s="8"/>
      <c r="E8" s="8"/>
      <c r="F8" s="8"/>
      <c r="G8" s="8"/>
      <c r="H8" s="8"/>
      <c r="I8" s="8"/>
    </row>
    <row r="9" spans="1:9">
      <c r="A9" s="6"/>
      <c r="B9" s="6"/>
      <c r="C9" s="8"/>
      <c r="D9" s="8"/>
      <c r="E9" s="8"/>
      <c r="F9" s="8"/>
      <c r="G9" s="8"/>
      <c r="H9" s="8"/>
      <c r="I9" s="8"/>
    </row>
    <row r="10" spans="1:9">
      <c r="A10" s="6"/>
      <c r="B10" s="6"/>
      <c r="C10" s="8"/>
      <c r="D10" s="8"/>
      <c r="E10" s="8"/>
      <c r="F10" s="8"/>
      <c r="G10" s="8"/>
      <c r="H10" s="8"/>
      <c r="I10" s="8"/>
    </row>
    <row r="11" spans="1:9">
      <c r="A11" s="6"/>
      <c r="B11" s="6"/>
      <c r="C11" s="8"/>
      <c r="D11" s="8"/>
      <c r="E11" s="8"/>
      <c r="F11" s="8"/>
      <c r="G11" s="8"/>
      <c r="H11" s="8"/>
      <c r="I11" s="8"/>
    </row>
    <row r="12" spans="1:9">
      <c r="A12" s="6"/>
      <c r="B12" s="6"/>
      <c r="C12" s="8"/>
      <c r="D12" s="8"/>
      <c r="E12" s="8"/>
      <c r="F12" s="8"/>
      <c r="G12" s="8"/>
      <c r="H12" s="8"/>
      <c r="I12" s="8"/>
    </row>
    <row r="13" spans="1:9">
      <c r="A13" s="6"/>
      <c r="B13" s="6"/>
      <c r="C13" s="8"/>
      <c r="D13" s="8"/>
      <c r="E13" s="8"/>
      <c r="F13" s="8"/>
      <c r="G13" s="8"/>
      <c r="H13" s="8"/>
      <c r="I13" s="8"/>
    </row>
    <row r="14" spans="1:9">
      <c r="A14" s="6"/>
      <c r="B14" s="6"/>
      <c r="C14" s="8"/>
      <c r="D14" s="8"/>
      <c r="E14" s="8"/>
      <c r="F14" s="8"/>
      <c r="G14" s="8"/>
      <c r="H14" s="8"/>
      <c r="I14" s="8"/>
    </row>
    <row r="15" spans="1:9">
      <c r="A15" s="6"/>
      <c r="B15" s="6"/>
      <c r="C15" s="8"/>
      <c r="D15" s="8"/>
      <c r="E15" s="8"/>
      <c r="F15" s="8"/>
      <c r="G15" s="8"/>
      <c r="H15" s="8"/>
      <c r="I15" s="8"/>
    </row>
    <row r="16" spans="1:9">
      <c r="A16" s="6"/>
      <c r="B16" s="6"/>
      <c r="C16" s="6"/>
      <c r="D16" s="6"/>
      <c r="E16" s="6"/>
      <c r="F16" s="6"/>
      <c r="G16" s="6"/>
      <c r="H16" s="6"/>
      <c r="I16" s="8"/>
    </row>
    <row r="17" spans="1:9">
      <c r="A17" s="6"/>
      <c r="B17" s="6"/>
      <c r="C17" s="6"/>
      <c r="D17" s="6"/>
      <c r="E17" s="6"/>
      <c r="F17" s="6"/>
      <c r="G17" s="6"/>
      <c r="H17" s="6"/>
      <c r="I17" s="8"/>
    </row>
    <row r="18" spans="1:9">
      <c r="A18" s="6"/>
      <c r="B18" s="6"/>
      <c r="C18" s="6"/>
      <c r="D18" s="6"/>
      <c r="E18" s="6"/>
      <c r="F18" s="6"/>
      <c r="G18" s="6"/>
      <c r="H18" s="6"/>
      <c r="I18" s="8"/>
    </row>
    <row r="19" spans="1:9">
      <c r="A19" t="s">
        <v>558</v>
      </c>
      <c r="C19" s="11">
        <f t="shared" ref="C19:I19" si="0">SUM(C3:C18)</f>
        <v>30000000</v>
      </c>
      <c r="D19" s="11">
        <f t="shared" si="0"/>
        <v>0</v>
      </c>
      <c r="E19" s="11">
        <f t="shared" si="0"/>
        <v>2700000</v>
      </c>
      <c r="F19" s="11">
        <f t="shared" si="0"/>
        <v>2700000</v>
      </c>
      <c r="G19" s="11">
        <f t="shared" si="0"/>
        <v>0</v>
      </c>
      <c r="H19" s="11">
        <f t="shared" si="0"/>
        <v>0</v>
      </c>
      <c r="I19" s="11">
        <f t="shared" si="0"/>
        <v>0</v>
      </c>
    </row>
  </sheetData>
  <mergeCells count="1">
    <mergeCell ref="A1:G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12"/>
  <sheetViews>
    <sheetView workbookViewId="0">
      <selection activeCell="A1" sqref="A1:G1"/>
    </sheetView>
  </sheetViews>
  <sheetFormatPr defaultColWidth="9" defaultRowHeight="13.5"/>
  <cols>
    <col min="1" max="2" width="10.5" customWidth="1"/>
    <col min="3" max="3" width="17.25" customWidth="1"/>
    <col min="4" max="5" width="16.125" customWidth="1"/>
    <col min="6" max="6" width="16.625" customWidth="1"/>
    <col min="7" max="8" width="16.125" customWidth="1"/>
    <col min="9" max="9" width="10" customWidth="1"/>
    <col min="10" max="10" width="5.5" customWidth="1"/>
    <col min="11" max="11" width="11.625" customWidth="1"/>
  </cols>
  <sheetData>
    <row r="1" ht="18.75" spans="1:11">
      <c r="A1" s="1" t="s">
        <v>610</v>
      </c>
      <c r="B1" s="1"/>
      <c r="C1" s="1"/>
      <c r="D1" s="1"/>
      <c r="E1" s="1"/>
      <c r="F1" s="1"/>
      <c r="G1" s="1"/>
      <c r="H1" s="2"/>
      <c r="J1" s="12" t="s">
        <v>544</v>
      </c>
      <c r="K1" s="12" t="s">
        <v>611</v>
      </c>
    </row>
    <row r="2" spans="1:9">
      <c r="A2" s="3" t="s">
        <v>2</v>
      </c>
      <c r="B2" s="3" t="s">
        <v>546</v>
      </c>
      <c r="C2" s="3" t="s">
        <v>6</v>
      </c>
      <c r="D2" s="3" t="s">
        <v>513</v>
      </c>
      <c r="E2" s="3" t="s">
        <v>515</v>
      </c>
      <c r="F2" s="3" t="s">
        <v>547</v>
      </c>
      <c r="G2" s="3" t="s">
        <v>548</v>
      </c>
      <c r="H2" s="4" t="s">
        <v>549</v>
      </c>
      <c r="I2" s="4" t="s">
        <v>522</v>
      </c>
    </row>
    <row r="3" spans="1:9">
      <c r="A3" s="13">
        <v>42740</v>
      </c>
      <c r="B3" s="13"/>
      <c r="C3" s="9">
        <v>50000000</v>
      </c>
      <c r="D3" s="9"/>
      <c r="E3" s="9"/>
      <c r="F3" s="9"/>
      <c r="G3" s="9"/>
      <c r="H3" s="9"/>
      <c r="I3" s="9"/>
    </row>
    <row r="4" spans="1:9">
      <c r="A4" s="13"/>
      <c r="B4" s="13">
        <v>42741</v>
      </c>
      <c r="C4" s="9"/>
      <c r="D4" s="9"/>
      <c r="E4" s="9">
        <v>2250000</v>
      </c>
      <c r="F4" s="9">
        <v>750000</v>
      </c>
      <c r="G4" s="9">
        <v>1000000</v>
      </c>
      <c r="H4" s="9">
        <v>2500000</v>
      </c>
      <c r="I4" s="9"/>
    </row>
    <row r="5" spans="1:9">
      <c r="A5" s="13"/>
      <c r="B5" s="13">
        <v>42927</v>
      </c>
      <c r="C5" s="9"/>
      <c r="D5" s="9"/>
      <c r="E5" s="9">
        <v>2250000</v>
      </c>
      <c r="F5" s="9">
        <v>750000</v>
      </c>
      <c r="G5" s="9">
        <v>1000000</v>
      </c>
      <c r="H5" s="9"/>
      <c r="I5" s="9"/>
    </row>
    <row r="6" spans="1:9">
      <c r="A6" s="13"/>
      <c r="B6" s="13">
        <v>43108</v>
      </c>
      <c r="C6" s="9"/>
      <c r="D6" s="9">
        <v>5000000</v>
      </c>
      <c r="E6" s="9"/>
      <c r="F6" s="9"/>
      <c r="G6" s="9"/>
      <c r="H6" s="9"/>
      <c r="I6" s="9"/>
    </row>
    <row r="7" spans="1:9">
      <c r="A7" s="13"/>
      <c r="B7" s="13">
        <v>43109</v>
      </c>
      <c r="C7" s="9"/>
      <c r="D7" s="9">
        <v>5000000</v>
      </c>
      <c r="E7" s="9"/>
      <c r="F7" s="9"/>
      <c r="G7" s="9"/>
      <c r="H7" s="9"/>
      <c r="I7" s="9"/>
    </row>
    <row r="8" spans="1:9">
      <c r="A8" s="13"/>
      <c r="B8" s="13"/>
      <c r="C8" s="9"/>
      <c r="D8" s="9"/>
      <c r="E8" s="9"/>
      <c r="F8" s="9"/>
      <c r="G8" s="9"/>
      <c r="H8" s="9"/>
      <c r="I8" s="9"/>
    </row>
    <row r="9" spans="1:9">
      <c r="A9" s="13"/>
      <c r="B9" s="13"/>
      <c r="C9" s="9"/>
      <c r="D9" s="9"/>
      <c r="E9" s="9"/>
      <c r="F9" s="9"/>
      <c r="G9" s="9"/>
      <c r="H9" s="9"/>
      <c r="I9" s="9"/>
    </row>
    <row r="10" spans="1:9">
      <c r="A10" s="13"/>
      <c r="B10" s="13"/>
      <c r="C10" s="9"/>
      <c r="D10" s="9"/>
      <c r="E10" s="9"/>
      <c r="F10" s="9"/>
      <c r="G10" s="9"/>
      <c r="H10" s="9"/>
      <c r="I10" s="9"/>
    </row>
    <row r="12" spans="1:9">
      <c r="A12" t="s">
        <v>12</v>
      </c>
      <c r="C12" s="11">
        <f t="shared" ref="C12:I12" si="0">SUM(C3:C11)</f>
        <v>50000000</v>
      </c>
      <c r="D12" s="11">
        <f t="shared" si="0"/>
        <v>10000000</v>
      </c>
      <c r="E12" s="11">
        <f t="shared" si="0"/>
        <v>4500000</v>
      </c>
      <c r="F12" s="11">
        <f t="shared" si="0"/>
        <v>1500000</v>
      </c>
      <c r="G12" s="11">
        <f t="shared" si="0"/>
        <v>2000000</v>
      </c>
      <c r="H12" s="11">
        <f t="shared" si="0"/>
        <v>2500000</v>
      </c>
      <c r="I12" s="11">
        <f t="shared" si="0"/>
        <v>0</v>
      </c>
    </row>
  </sheetData>
  <mergeCells count="1">
    <mergeCell ref="A1:G1"/>
  </mergeCells>
  <hyperlinks>
    <hyperlink ref="J1" location="总表!A1" display="总表"/>
    <hyperlink ref="K1" location="收付款总表!A1" display="收放款总表"/>
  </hyperlinks>
  <pageMargins left="0.699305555555556" right="0.699305555555556" top="0.75" bottom="0.75" header="0.3" footer="0.3"/>
  <headerFooter/>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K12"/>
  <sheetViews>
    <sheetView workbookViewId="0">
      <selection activeCell="J1" sqref="J1"/>
    </sheetView>
  </sheetViews>
  <sheetFormatPr defaultColWidth="9" defaultRowHeight="13.5"/>
  <cols>
    <col min="1" max="1" width="10.5" customWidth="1"/>
    <col min="2" max="2" width="11.625" customWidth="1"/>
    <col min="3" max="5" width="16.125" customWidth="1"/>
  </cols>
  <sheetData>
    <row r="1" ht="18.75" spans="1:11">
      <c r="A1" s="1" t="s">
        <v>612</v>
      </c>
      <c r="B1" s="1"/>
      <c r="C1" s="1"/>
      <c r="D1" s="1"/>
      <c r="E1" s="1"/>
      <c r="F1" s="1"/>
      <c r="G1" s="1"/>
      <c r="H1" s="2"/>
      <c r="I1" s="2"/>
      <c r="J1" s="12" t="s">
        <v>544</v>
      </c>
      <c r="K1" s="12" t="s">
        <v>611</v>
      </c>
    </row>
    <row r="2" spans="1:9">
      <c r="A2" s="3" t="s">
        <v>2</v>
      </c>
      <c r="B2" s="3" t="s">
        <v>546</v>
      </c>
      <c r="C2" s="3" t="s">
        <v>6</v>
      </c>
      <c r="D2" s="3" t="s">
        <v>513</v>
      </c>
      <c r="E2" s="3" t="s">
        <v>515</v>
      </c>
      <c r="F2" s="3" t="s">
        <v>547</v>
      </c>
      <c r="G2" s="3" t="s">
        <v>548</v>
      </c>
      <c r="H2" s="4" t="s">
        <v>549</v>
      </c>
      <c r="I2" s="4" t="s">
        <v>522</v>
      </c>
    </row>
    <row r="3" spans="1:9">
      <c r="A3" s="13">
        <v>42872</v>
      </c>
      <c r="B3" s="13"/>
      <c r="C3" s="9">
        <v>4000000</v>
      </c>
      <c r="D3" s="9"/>
      <c r="E3" s="9"/>
      <c r="F3" s="9"/>
      <c r="G3" s="9"/>
      <c r="H3" s="9"/>
      <c r="I3" s="9"/>
    </row>
    <row r="4" spans="1:9">
      <c r="A4" s="13"/>
      <c r="B4" s="23">
        <v>42968</v>
      </c>
      <c r="C4" s="9"/>
      <c r="D4" s="9"/>
      <c r="E4" s="9">
        <v>473333</v>
      </c>
      <c r="F4" s="9"/>
      <c r="G4" s="9"/>
      <c r="H4" s="9"/>
      <c r="I4" s="9"/>
    </row>
    <row r="5" spans="1:9">
      <c r="A5" s="13"/>
      <c r="B5" s="13">
        <v>43056</v>
      </c>
      <c r="C5" s="9"/>
      <c r="D5" s="9"/>
      <c r="E5" s="9">
        <v>473333</v>
      </c>
      <c r="F5" s="9"/>
      <c r="G5" s="9"/>
      <c r="H5" s="9"/>
      <c r="I5" s="9"/>
    </row>
    <row r="6" spans="1:9">
      <c r="A6" s="13"/>
      <c r="B6" s="13">
        <v>43084</v>
      </c>
      <c r="C6" s="9"/>
      <c r="D6" s="9"/>
      <c r="E6" s="9">
        <v>130556.22</v>
      </c>
      <c r="F6" s="9"/>
      <c r="G6" s="9"/>
      <c r="H6" s="9"/>
      <c r="I6" s="9"/>
    </row>
    <row r="7" spans="1:9">
      <c r="A7" s="13"/>
      <c r="B7" s="13"/>
      <c r="C7" s="9"/>
      <c r="D7" s="9"/>
      <c r="E7" s="9"/>
      <c r="F7" s="9"/>
      <c r="G7" s="9"/>
      <c r="H7" s="9"/>
      <c r="I7" s="9"/>
    </row>
    <row r="8" spans="1:9">
      <c r="A8" s="13"/>
      <c r="B8" s="13"/>
      <c r="C8" s="9"/>
      <c r="D8" s="9"/>
      <c r="E8" s="9"/>
      <c r="F8" s="9"/>
      <c r="G8" s="9"/>
      <c r="H8" s="9"/>
      <c r="I8" s="9"/>
    </row>
    <row r="9" spans="1:9">
      <c r="A9" s="13"/>
      <c r="B9" s="13"/>
      <c r="C9" s="9"/>
      <c r="D9" s="9"/>
      <c r="E9" s="9"/>
      <c r="F9" s="9"/>
      <c r="G9" s="9"/>
      <c r="H9" s="9"/>
      <c r="I9" s="9"/>
    </row>
    <row r="10" spans="1:9">
      <c r="A10" s="13"/>
      <c r="B10" s="13"/>
      <c r="C10" s="9"/>
      <c r="D10" s="9"/>
      <c r="E10" s="9"/>
      <c r="F10" s="9"/>
      <c r="G10" s="9"/>
      <c r="H10" s="9"/>
      <c r="I10" s="9"/>
    </row>
    <row r="12" spans="1:9">
      <c r="A12" t="s">
        <v>12</v>
      </c>
      <c r="C12" s="11">
        <f t="shared" ref="C12:I12" si="0">SUM(C3:C11)</f>
        <v>4000000</v>
      </c>
      <c r="D12" s="11">
        <f>SUM(D3:D10)</f>
        <v>0</v>
      </c>
      <c r="E12" s="11">
        <f t="shared" si="0"/>
        <v>1077222.22</v>
      </c>
      <c r="F12" s="11">
        <f t="shared" si="0"/>
        <v>0</v>
      </c>
      <c r="G12" s="11">
        <f t="shared" si="0"/>
        <v>0</v>
      </c>
      <c r="H12" s="11">
        <f t="shared" si="0"/>
        <v>0</v>
      </c>
      <c r="I12" s="11">
        <f t="shared" si="0"/>
        <v>0</v>
      </c>
    </row>
  </sheetData>
  <mergeCells count="1">
    <mergeCell ref="A1:G1"/>
  </mergeCells>
  <hyperlinks>
    <hyperlink ref="J1" location="总表!A1" display="总表"/>
    <hyperlink ref="K1" location="收付款总表!A1" display="收放款总表"/>
  </hyperlinks>
  <pageMargins left="0.699305555555556" right="0.699305555555556" top="0.75" bottom="0.75" header="0.3" footer="0.3"/>
  <headerFooter/>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K12"/>
  <sheetViews>
    <sheetView workbookViewId="0">
      <selection activeCell="J1" sqref="J1"/>
    </sheetView>
  </sheetViews>
  <sheetFormatPr defaultColWidth="9" defaultRowHeight="13.5"/>
  <cols>
    <col min="1" max="1" width="10.5" customWidth="1"/>
    <col min="2" max="2" width="11.625" customWidth="1"/>
    <col min="3" max="4" width="18.375" customWidth="1"/>
    <col min="5" max="8" width="16.125" customWidth="1"/>
    <col min="10" max="10" width="11" customWidth="1"/>
  </cols>
  <sheetData>
    <row r="1" ht="18.75" spans="1:11">
      <c r="A1" s="1" t="s">
        <v>613</v>
      </c>
      <c r="B1" s="1"/>
      <c r="C1" s="1"/>
      <c r="D1" s="1"/>
      <c r="E1" s="1"/>
      <c r="F1" s="1"/>
      <c r="G1" s="1"/>
      <c r="H1" s="2"/>
      <c r="J1" s="12" t="s">
        <v>544</v>
      </c>
      <c r="K1" s="12" t="s">
        <v>611</v>
      </c>
    </row>
    <row r="2" spans="1:9">
      <c r="A2" s="3" t="s">
        <v>2</v>
      </c>
      <c r="B2" s="3" t="s">
        <v>546</v>
      </c>
      <c r="C2" s="3" t="s">
        <v>6</v>
      </c>
      <c r="D2" s="3" t="s">
        <v>513</v>
      </c>
      <c r="E2" s="3" t="s">
        <v>515</v>
      </c>
      <c r="F2" s="3" t="s">
        <v>547</v>
      </c>
      <c r="G2" s="3" t="s">
        <v>548</v>
      </c>
      <c r="H2" s="4" t="s">
        <v>549</v>
      </c>
      <c r="I2" s="4" t="s">
        <v>522</v>
      </c>
    </row>
    <row r="3" spans="1:9">
      <c r="A3" s="13">
        <v>42867</v>
      </c>
      <c r="B3" s="13"/>
      <c r="C3" s="9">
        <v>25000000</v>
      </c>
      <c r="D3" s="9"/>
      <c r="E3" s="9"/>
      <c r="F3" s="9"/>
      <c r="G3" s="9"/>
      <c r="H3" s="9"/>
      <c r="I3" s="9"/>
    </row>
    <row r="4" spans="1:9">
      <c r="A4" s="13"/>
      <c r="B4" s="13">
        <v>42867</v>
      </c>
      <c r="C4" s="9"/>
      <c r="D4" s="9"/>
      <c r="E4" s="9"/>
      <c r="F4" s="9">
        <v>937500</v>
      </c>
      <c r="G4" s="9"/>
      <c r="H4" s="9"/>
      <c r="I4" s="9"/>
    </row>
    <row r="5" spans="1:9">
      <c r="A5" s="13">
        <v>42871</v>
      </c>
      <c r="B5" s="13"/>
      <c r="C5" s="9">
        <v>75000000</v>
      </c>
      <c r="D5" s="9"/>
      <c r="E5" s="9"/>
      <c r="F5" s="9"/>
      <c r="G5" s="9"/>
      <c r="H5" s="9"/>
      <c r="I5" s="9"/>
    </row>
    <row r="6" spans="1:9">
      <c r="A6" s="13"/>
      <c r="B6" s="13">
        <v>42871</v>
      </c>
      <c r="C6" s="9"/>
      <c r="D6" s="9"/>
      <c r="E6" s="9"/>
      <c r="F6" s="9">
        <v>2812500</v>
      </c>
      <c r="G6" s="9"/>
      <c r="H6" s="9"/>
      <c r="I6" s="9"/>
    </row>
    <row r="7" spans="1:9">
      <c r="A7" s="13"/>
      <c r="B7" s="13">
        <v>42957</v>
      </c>
      <c r="C7" s="9"/>
      <c r="D7" s="9"/>
      <c r="E7" s="9">
        <v>2000000</v>
      </c>
      <c r="F7" s="9"/>
      <c r="G7" s="9"/>
      <c r="H7" s="9"/>
      <c r="I7" s="9"/>
    </row>
    <row r="8" spans="1:9">
      <c r="A8" s="13"/>
      <c r="B8" s="13">
        <v>43049</v>
      </c>
      <c r="C8" s="9"/>
      <c r="D8" s="9"/>
      <c r="E8" s="9">
        <v>2000000</v>
      </c>
      <c r="F8" s="9">
        <v>3750000</v>
      </c>
      <c r="G8" s="9"/>
      <c r="H8" s="9"/>
      <c r="I8" s="9"/>
    </row>
    <row r="9" spans="1:9">
      <c r="A9" s="13"/>
      <c r="B9" s="13"/>
      <c r="C9" s="9"/>
      <c r="D9" s="9"/>
      <c r="E9" s="9"/>
      <c r="F9" s="9"/>
      <c r="G9" s="9"/>
      <c r="H9" s="9"/>
      <c r="I9" s="9"/>
    </row>
    <row r="10" spans="1:9">
      <c r="A10" s="13"/>
      <c r="B10" s="13"/>
      <c r="C10" s="9"/>
      <c r="D10" s="9"/>
      <c r="E10" s="9"/>
      <c r="F10" s="9"/>
      <c r="G10" s="9"/>
      <c r="H10" s="9"/>
      <c r="I10" s="9"/>
    </row>
    <row r="12" spans="1:9">
      <c r="A12" t="s">
        <v>12</v>
      </c>
      <c r="C12" s="11">
        <f t="shared" ref="C12:I12" si="0">SUM(C3:C11)</f>
        <v>100000000</v>
      </c>
      <c r="D12" s="11">
        <f t="shared" si="0"/>
        <v>0</v>
      </c>
      <c r="E12" s="11">
        <f t="shared" si="0"/>
        <v>4000000</v>
      </c>
      <c r="F12" s="11">
        <f t="shared" si="0"/>
        <v>7500000</v>
      </c>
      <c r="G12" s="11">
        <f t="shared" si="0"/>
        <v>0</v>
      </c>
      <c r="H12" s="11">
        <f t="shared" si="0"/>
        <v>0</v>
      </c>
      <c r="I12" s="11">
        <f t="shared" si="0"/>
        <v>0</v>
      </c>
    </row>
  </sheetData>
  <mergeCells count="1">
    <mergeCell ref="A1:G1"/>
  </mergeCells>
  <hyperlinks>
    <hyperlink ref="J1" location="总表!A1" display="总表"/>
    <hyperlink ref="K1" location="收付款总表!A1" display="收放款总表"/>
  </hyperlinks>
  <pageMargins left="0.699305555555556" right="0.699305555555556" top="0.75" bottom="0.75" header="0.3" footer="0.3"/>
  <headerFooter/>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K12"/>
  <sheetViews>
    <sheetView workbookViewId="0">
      <selection activeCell="J21" sqref="J21"/>
    </sheetView>
  </sheetViews>
  <sheetFormatPr defaultColWidth="9" defaultRowHeight="13.5"/>
  <cols>
    <col min="1" max="1" width="10.5" customWidth="1"/>
    <col min="2" max="2" width="11.625" customWidth="1"/>
    <col min="3" max="4" width="17.25" customWidth="1"/>
    <col min="5" max="6" width="16.125" customWidth="1"/>
    <col min="7" max="7" width="7.75" customWidth="1"/>
    <col min="8" max="8" width="16.125" customWidth="1"/>
    <col min="11" max="11" width="11" customWidth="1"/>
  </cols>
  <sheetData>
    <row r="1" ht="18.75" spans="1:11">
      <c r="A1" s="1" t="s">
        <v>614</v>
      </c>
      <c r="B1" s="1"/>
      <c r="C1" s="1"/>
      <c r="D1" s="1"/>
      <c r="E1" s="1"/>
      <c r="F1" s="1"/>
      <c r="G1" s="1"/>
      <c r="H1" s="2"/>
      <c r="J1" s="12" t="s">
        <v>544</v>
      </c>
      <c r="K1" s="12" t="s">
        <v>545</v>
      </c>
    </row>
    <row r="2" spans="1:9">
      <c r="A2" s="3" t="s">
        <v>2</v>
      </c>
      <c r="B2" s="3" t="s">
        <v>546</v>
      </c>
      <c r="C2" s="3" t="s">
        <v>6</v>
      </c>
      <c r="D2" s="3" t="s">
        <v>513</v>
      </c>
      <c r="E2" s="3" t="s">
        <v>515</v>
      </c>
      <c r="F2" s="3" t="s">
        <v>547</v>
      </c>
      <c r="G2" s="3" t="s">
        <v>548</v>
      </c>
      <c r="H2" s="4" t="s">
        <v>549</v>
      </c>
      <c r="I2" s="4" t="s">
        <v>522</v>
      </c>
    </row>
    <row r="3" spans="1:9">
      <c r="A3" s="13">
        <v>42814</v>
      </c>
      <c r="B3" s="13"/>
      <c r="C3" s="9">
        <v>60000000</v>
      </c>
      <c r="D3" s="9"/>
      <c r="E3" s="9"/>
      <c r="F3" s="9"/>
      <c r="G3" s="9"/>
      <c r="H3" s="9"/>
      <c r="I3" s="9"/>
    </row>
    <row r="4" spans="1:9">
      <c r="A4" s="13"/>
      <c r="B4" s="13">
        <v>42815</v>
      </c>
      <c r="C4" s="9"/>
      <c r="D4" s="9"/>
      <c r="E4" s="9">
        <v>3600000</v>
      </c>
      <c r="F4" s="9">
        <v>900000</v>
      </c>
      <c r="G4" s="9">
        <v>0</v>
      </c>
      <c r="H4" s="9">
        <v>6000000</v>
      </c>
      <c r="I4" s="9"/>
    </row>
    <row r="5" spans="1:9">
      <c r="A5" s="13"/>
      <c r="B5" s="13">
        <v>43026</v>
      </c>
      <c r="C5" s="9"/>
      <c r="D5" s="9"/>
      <c r="E5" s="9">
        <v>3600000</v>
      </c>
      <c r="F5" s="9">
        <v>900000</v>
      </c>
      <c r="G5" s="9"/>
      <c r="H5" s="9"/>
      <c r="I5" s="9"/>
    </row>
    <row r="6" spans="1:9">
      <c r="A6" s="13"/>
      <c r="B6" s="13"/>
      <c r="C6" s="9"/>
      <c r="D6" s="9"/>
      <c r="E6" s="9"/>
      <c r="F6" s="9"/>
      <c r="G6" s="9"/>
      <c r="H6" s="9"/>
      <c r="I6" s="9"/>
    </row>
    <row r="7" spans="1:9">
      <c r="A7" s="13"/>
      <c r="B7" s="13"/>
      <c r="C7" s="9"/>
      <c r="D7" s="9"/>
      <c r="E7" s="9"/>
      <c r="F7" s="9"/>
      <c r="G7" s="9"/>
      <c r="H7" s="9"/>
      <c r="I7" s="9"/>
    </row>
    <row r="8" spans="1:9">
      <c r="A8" s="13"/>
      <c r="B8" s="13"/>
      <c r="C8" s="9"/>
      <c r="D8" s="9"/>
      <c r="E8" s="9"/>
      <c r="F8" s="9"/>
      <c r="G8" s="9"/>
      <c r="H8" s="9"/>
      <c r="I8" s="9"/>
    </row>
    <row r="9" spans="1:9">
      <c r="A9" s="13"/>
      <c r="B9" s="13"/>
      <c r="C9" s="9"/>
      <c r="D9" s="9"/>
      <c r="E9" s="9"/>
      <c r="F9" s="9"/>
      <c r="G9" s="9"/>
      <c r="H9" s="9"/>
      <c r="I9" s="9"/>
    </row>
    <row r="10" spans="1:9">
      <c r="A10" s="13"/>
      <c r="B10" s="13"/>
      <c r="C10" s="9"/>
      <c r="D10" s="9"/>
      <c r="E10" s="9"/>
      <c r="F10" s="9"/>
      <c r="G10" s="9"/>
      <c r="H10" s="9"/>
      <c r="I10" s="9"/>
    </row>
    <row r="12" spans="1:9">
      <c r="A12" t="s">
        <v>12</v>
      </c>
      <c r="C12" s="11">
        <f t="shared" ref="C12:I12" si="0">SUM(C3:C11)</f>
        <v>60000000</v>
      </c>
      <c r="D12" s="11">
        <f t="shared" si="0"/>
        <v>0</v>
      </c>
      <c r="E12" s="11">
        <f t="shared" si="0"/>
        <v>7200000</v>
      </c>
      <c r="F12" s="11">
        <f t="shared" si="0"/>
        <v>1800000</v>
      </c>
      <c r="G12" s="11">
        <f t="shared" si="0"/>
        <v>0</v>
      </c>
      <c r="H12" s="11">
        <f t="shared" si="0"/>
        <v>6000000</v>
      </c>
      <c r="I12" s="11">
        <f t="shared" si="0"/>
        <v>0</v>
      </c>
    </row>
  </sheetData>
  <mergeCells count="1">
    <mergeCell ref="A1:G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K12"/>
  <sheetViews>
    <sheetView workbookViewId="0">
      <selection activeCell="K1" sqref="K1"/>
    </sheetView>
  </sheetViews>
  <sheetFormatPr defaultColWidth="9" defaultRowHeight="13.5"/>
  <cols>
    <col min="1" max="1" width="10.5" customWidth="1"/>
    <col min="2" max="2" width="9.75" customWidth="1"/>
    <col min="3" max="4" width="17.25" customWidth="1"/>
    <col min="5" max="5" width="16.125" customWidth="1"/>
    <col min="6" max="7" width="13.875" customWidth="1"/>
    <col min="11" max="11" width="11" customWidth="1"/>
  </cols>
  <sheetData>
    <row r="1" ht="18.75" spans="1:11">
      <c r="A1" s="1" t="s">
        <v>615</v>
      </c>
      <c r="B1" s="1"/>
      <c r="C1" s="1"/>
      <c r="D1" s="1"/>
      <c r="E1" s="1"/>
      <c r="F1" s="1"/>
      <c r="G1" s="1"/>
      <c r="H1" s="2"/>
      <c r="J1" s="12" t="s">
        <v>544</v>
      </c>
      <c r="K1" s="12" t="s">
        <v>611</v>
      </c>
    </row>
    <row r="2" spans="1:9">
      <c r="A2" s="3" t="s">
        <v>2</v>
      </c>
      <c r="B2" s="3" t="s">
        <v>546</v>
      </c>
      <c r="C2" s="3" t="s">
        <v>6</v>
      </c>
      <c r="D2" s="3" t="s">
        <v>513</v>
      </c>
      <c r="E2" s="3" t="s">
        <v>515</v>
      </c>
      <c r="F2" s="3" t="s">
        <v>547</v>
      </c>
      <c r="G2" s="3" t="s">
        <v>548</v>
      </c>
      <c r="H2" s="4" t="s">
        <v>549</v>
      </c>
      <c r="I2" s="4" t="s">
        <v>522</v>
      </c>
    </row>
    <row r="3" spans="1:9">
      <c r="A3" s="13">
        <v>42881</v>
      </c>
      <c r="B3" s="13"/>
      <c r="C3" s="9">
        <v>20000000</v>
      </c>
      <c r="D3" s="9"/>
      <c r="E3" s="9"/>
      <c r="F3" s="9"/>
      <c r="G3" s="9"/>
      <c r="H3" s="9"/>
      <c r="I3" s="9"/>
    </row>
    <row r="4" spans="1:9">
      <c r="A4" s="13"/>
      <c r="B4" s="13">
        <v>42881</v>
      </c>
      <c r="C4" s="9"/>
      <c r="D4" s="9"/>
      <c r="E4" s="9">
        <v>1407500</v>
      </c>
      <c r="F4" s="9">
        <v>156388.888888889</v>
      </c>
      <c r="G4" s="9">
        <v>469166.666666667</v>
      </c>
      <c r="H4" s="9"/>
      <c r="I4" s="9"/>
    </row>
    <row r="5" spans="1:9">
      <c r="A5" s="13"/>
      <c r="B5" s="13"/>
      <c r="C5" s="9"/>
      <c r="D5" s="9"/>
      <c r="E5" s="9"/>
      <c r="F5" s="9"/>
      <c r="G5" s="9"/>
      <c r="H5" s="9"/>
      <c r="I5" s="9"/>
    </row>
    <row r="6" spans="1:9">
      <c r="A6" s="13"/>
      <c r="B6" s="13"/>
      <c r="C6" s="9"/>
      <c r="D6" s="9"/>
      <c r="E6" s="9"/>
      <c r="F6" s="9"/>
      <c r="G6" s="9"/>
      <c r="H6" s="9"/>
      <c r="I6" s="9"/>
    </row>
    <row r="7" spans="1:9">
      <c r="A7" s="13"/>
      <c r="B7" s="13"/>
      <c r="C7" s="9"/>
      <c r="D7" s="9"/>
      <c r="E7" s="9"/>
      <c r="F7" s="9"/>
      <c r="G7" s="9"/>
      <c r="H7" s="9"/>
      <c r="I7" s="9"/>
    </row>
    <row r="8" spans="1:9">
      <c r="A8" s="13"/>
      <c r="B8" s="13"/>
      <c r="C8" s="9"/>
      <c r="D8" s="9"/>
      <c r="E8" s="9"/>
      <c r="F8" s="9"/>
      <c r="G8" s="9"/>
      <c r="H8" s="9"/>
      <c r="I8" s="9"/>
    </row>
    <row r="9" spans="1:9">
      <c r="A9" s="13"/>
      <c r="B9" s="13"/>
      <c r="C9" s="9"/>
      <c r="D9" s="9"/>
      <c r="E9" s="9"/>
      <c r="F9" s="9"/>
      <c r="G9" s="9"/>
      <c r="H9" s="9"/>
      <c r="I9" s="9"/>
    </row>
    <row r="10" spans="1:9">
      <c r="A10" s="13"/>
      <c r="B10" s="13"/>
      <c r="C10" s="9"/>
      <c r="D10" s="9"/>
      <c r="E10" s="9"/>
      <c r="F10" s="9"/>
      <c r="G10" s="9"/>
      <c r="H10" s="9"/>
      <c r="I10" s="9"/>
    </row>
    <row r="12" spans="1:9">
      <c r="A12" t="s">
        <v>12</v>
      </c>
      <c r="C12" s="11">
        <f t="shared" ref="C12:I12" si="0">SUM(C3:C11)</f>
        <v>20000000</v>
      </c>
      <c r="D12" s="11">
        <f t="shared" si="0"/>
        <v>0</v>
      </c>
      <c r="E12" s="11">
        <f t="shared" si="0"/>
        <v>1407500</v>
      </c>
      <c r="F12" s="11">
        <f t="shared" si="0"/>
        <v>156388.888888889</v>
      </c>
      <c r="G12" s="11">
        <f t="shared" si="0"/>
        <v>469166.666666667</v>
      </c>
      <c r="H12" s="11">
        <f t="shared" si="0"/>
        <v>0</v>
      </c>
      <c r="I12" s="11">
        <f t="shared" si="0"/>
        <v>0</v>
      </c>
    </row>
  </sheetData>
  <mergeCells count="1">
    <mergeCell ref="A1:G1"/>
  </mergeCells>
  <hyperlinks>
    <hyperlink ref="J1" location="总表!A1" display="总表"/>
    <hyperlink ref="K1" location="收付款总表!A1" display="收放款总表"/>
  </hyperlinks>
  <pageMargins left="0.699305555555556" right="0.699305555555556" top="0.75" bottom="0.75" header="0.3" footer="0.3"/>
  <headerFooter/>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K12"/>
  <sheetViews>
    <sheetView workbookViewId="0">
      <selection activeCell="J1" sqref="J1"/>
    </sheetView>
  </sheetViews>
  <sheetFormatPr defaultColWidth="9" defaultRowHeight="13.5"/>
  <cols>
    <col min="1" max="1" width="15.125" customWidth="1"/>
    <col min="2" max="2" width="11.625" customWidth="1"/>
    <col min="3" max="4" width="18.375" customWidth="1"/>
    <col min="5" max="7" width="16.125" customWidth="1"/>
    <col min="11" max="11" width="11" customWidth="1"/>
  </cols>
  <sheetData>
    <row r="1" ht="39.75" customHeight="1" spans="1:11">
      <c r="A1" s="22" t="s">
        <v>616</v>
      </c>
      <c r="B1" s="22"/>
      <c r="C1" s="22"/>
      <c r="D1" s="22"/>
      <c r="E1" s="22"/>
      <c r="F1" s="22"/>
      <c r="G1" s="22"/>
      <c r="H1" s="22"/>
      <c r="I1" s="22"/>
      <c r="J1" s="12" t="s">
        <v>544</v>
      </c>
      <c r="K1" s="12" t="s">
        <v>545</v>
      </c>
    </row>
    <row r="2" spans="1:9">
      <c r="A2" s="3" t="s">
        <v>2</v>
      </c>
      <c r="B2" s="3" t="s">
        <v>546</v>
      </c>
      <c r="C2" s="3" t="s">
        <v>6</v>
      </c>
      <c r="D2" s="3" t="s">
        <v>513</v>
      </c>
      <c r="E2" s="3" t="s">
        <v>515</v>
      </c>
      <c r="F2" s="3" t="s">
        <v>547</v>
      </c>
      <c r="G2" s="3" t="s">
        <v>548</v>
      </c>
      <c r="H2" s="4" t="s">
        <v>549</v>
      </c>
      <c r="I2" s="4" t="s">
        <v>522</v>
      </c>
    </row>
    <row r="3" spans="1:9">
      <c r="A3" s="13">
        <v>42846</v>
      </c>
      <c r="B3" s="13"/>
      <c r="C3" s="9">
        <v>100000000</v>
      </c>
      <c r="D3" s="9"/>
      <c r="E3" s="9"/>
      <c r="F3" s="9"/>
      <c r="G3" s="9"/>
      <c r="H3" s="9"/>
      <c r="I3" s="9"/>
    </row>
    <row r="4" spans="1:9">
      <c r="A4" s="13"/>
      <c r="B4" s="13">
        <v>42846</v>
      </c>
      <c r="C4" s="9"/>
      <c r="D4" s="9"/>
      <c r="E4" s="9">
        <v>0</v>
      </c>
      <c r="F4" s="9">
        <v>0</v>
      </c>
      <c r="G4" s="9">
        <v>2000000</v>
      </c>
      <c r="H4" s="9">
        <v>0</v>
      </c>
      <c r="I4" s="9"/>
    </row>
    <row r="5" spans="1:9">
      <c r="A5" s="13"/>
      <c r="B5" s="13">
        <v>42849</v>
      </c>
      <c r="C5" s="9"/>
      <c r="D5" s="9"/>
      <c r="E5" s="9"/>
      <c r="F5" s="9">
        <v>4000000</v>
      </c>
      <c r="G5" s="9"/>
      <c r="H5" s="9"/>
      <c r="I5" s="9"/>
    </row>
    <row r="6" spans="1:9">
      <c r="A6" s="13"/>
      <c r="B6" s="13">
        <v>42935</v>
      </c>
      <c r="C6" s="9"/>
      <c r="D6" s="9"/>
      <c r="E6" s="9">
        <v>2500000</v>
      </c>
      <c r="F6" s="9"/>
      <c r="G6" s="9"/>
      <c r="H6" s="9"/>
      <c r="I6" s="9"/>
    </row>
    <row r="7" spans="1:9">
      <c r="A7" s="13"/>
      <c r="B7" s="13">
        <v>43026</v>
      </c>
      <c r="C7" s="9"/>
      <c r="D7" s="9"/>
      <c r="E7" s="9">
        <v>2500000</v>
      </c>
      <c r="F7" s="9"/>
      <c r="G7" s="9"/>
      <c r="H7" s="9"/>
      <c r="I7" s="9"/>
    </row>
    <row r="8" spans="1:9">
      <c r="A8" s="13"/>
      <c r="B8" s="13"/>
      <c r="C8" s="9"/>
      <c r="D8" s="9"/>
      <c r="E8" s="9"/>
      <c r="F8" s="9"/>
      <c r="G8" s="9"/>
      <c r="H8" s="9"/>
      <c r="I8" s="9"/>
    </row>
    <row r="9" spans="1:9">
      <c r="A9" s="13"/>
      <c r="B9" s="13"/>
      <c r="C9" s="9"/>
      <c r="D9" s="9"/>
      <c r="E9" s="9"/>
      <c r="F9" s="9"/>
      <c r="G9" s="9"/>
      <c r="H9" s="9"/>
      <c r="I9" s="9"/>
    </row>
    <row r="10" spans="1:9">
      <c r="A10" s="13"/>
      <c r="B10" s="13"/>
      <c r="C10" s="9"/>
      <c r="D10" s="9"/>
      <c r="E10" s="9"/>
      <c r="F10" s="9"/>
      <c r="G10" s="9"/>
      <c r="H10" s="9"/>
      <c r="I10" s="9"/>
    </row>
    <row r="11" spans="1:9">
      <c r="A11" s="21"/>
      <c r="B11" s="21"/>
      <c r="C11" s="20"/>
      <c r="D11" s="20"/>
      <c r="E11" s="20"/>
      <c r="F11" s="20"/>
      <c r="G11" s="20"/>
      <c r="H11" s="20"/>
      <c r="I11" s="20"/>
    </row>
    <row r="12" spans="1:9">
      <c r="A12" t="s">
        <v>12</v>
      </c>
      <c r="C12" s="11">
        <f ca="1">SUM(C3:INDEX(C:C,ROW()-1))</f>
        <v>100000000</v>
      </c>
      <c r="D12" s="11">
        <f t="shared" ref="D12:I12" si="0">SUM(D3:D10)</f>
        <v>0</v>
      </c>
      <c r="E12" s="11">
        <f t="shared" si="0"/>
        <v>5000000</v>
      </c>
      <c r="F12" s="11">
        <f t="shared" si="0"/>
        <v>4000000</v>
      </c>
      <c r="G12" s="11">
        <f t="shared" si="0"/>
        <v>2000000</v>
      </c>
      <c r="H12" s="11">
        <f t="shared" si="0"/>
        <v>0</v>
      </c>
      <c r="I12" s="11">
        <f t="shared" si="0"/>
        <v>0</v>
      </c>
    </row>
  </sheetData>
  <mergeCells count="1">
    <mergeCell ref="A1:I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K20"/>
  <sheetViews>
    <sheetView workbookViewId="0">
      <selection activeCell="K1" sqref="K1"/>
    </sheetView>
  </sheetViews>
  <sheetFormatPr defaultColWidth="9" defaultRowHeight="13.5"/>
  <cols>
    <col min="1" max="1" width="10.5" customWidth="1"/>
    <col min="2" max="2" width="11.625" customWidth="1"/>
    <col min="3" max="4" width="17.25" customWidth="1"/>
    <col min="5" max="6" width="16.125" customWidth="1"/>
    <col min="8" max="8" width="16.125" customWidth="1"/>
    <col min="11" max="11" width="11" customWidth="1"/>
  </cols>
  <sheetData>
    <row r="1" ht="18.75" spans="1:11">
      <c r="A1" s="1" t="s">
        <v>617</v>
      </c>
      <c r="B1" s="1"/>
      <c r="C1" s="1"/>
      <c r="D1" s="1"/>
      <c r="E1" s="1"/>
      <c r="F1" s="1"/>
      <c r="G1" s="1"/>
      <c r="H1" s="2"/>
      <c r="J1" s="12" t="s">
        <v>544</v>
      </c>
      <c r="K1" s="12" t="s">
        <v>545</v>
      </c>
    </row>
    <row r="2" spans="1:9">
      <c r="A2" s="3" t="s">
        <v>2</v>
      </c>
      <c r="B2" s="3" t="s">
        <v>546</v>
      </c>
      <c r="C2" s="3" t="s">
        <v>6</v>
      </c>
      <c r="D2" s="3" t="s">
        <v>513</v>
      </c>
      <c r="E2" s="3" t="s">
        <v>515</v>
      </c>
      <c r="F2" s="3" t="s">
        <v>547</v>
      </c>
      <c r="G2" s="3" t="s">
        <v>548</v>
      </c>
      <c r="H2" s="4" t="s">
        <v>549</v>
      </c>
      <c r="I2" s="4" t="s">
        <v>522</v>
      </c>
    </row>
    <row r="3" spans="1:9">
      <c r="A3" s="13">
        <v>42594</v>
      </c>
      <c r="B3" s="13"/>
      <c r="C3" s="9">
        <v>50000000</v>
      </c>
      <c r="D3" s="9">
        <v>0</v>
      </c>
      <c r="E3" s="9">
        <v>0</v>
      </c>
      <c r="F3" s="9">
        <v>0</v>
      </c>
      <c r="G3" s="9">
        <v>0</v>
      </c>
      <c r="H3" s="9">
        <v>0</v>
      </c>
      <c r="I3" s="9"/>
    </row>
    <row r="4" spans="1:9">
      <c r="A4" s="13"/>
      <c r="B4" s="13">
        <v>42597</v>
      </c>
      <c r="C4" s="9"/>
      <c r="D4" s="9"/>
      <c r="E4" s="9"/>
      <c r="F4" s="9">
        <v>1980000</v>
      </c>
      <c r="G4" s="9"/>
      <c r="H4" s="9"/>
      <c r="I4" s="9"/>
    </row>
    <row r="5" spans="1:9">
      <c r="A5" s="13"/>
      <c r="B5" s="13">
        <v>42598</v>
      </c>
      <c r="C5" s="9"/>
      <c r="D5" s="9"/>
      <c r="E5" s="9"/>
      <c r="F5" s="9"/>
      <c r="G5" s="9"/>
      <c r="H5" s="9">
        <v>3300000</v>
      </c>
      <c r="I5" s="9"/>
    </row>
    <row r="6" spans="1:9">
      <c r="A6" s="13"/>
      <c r="B6" s="13">
        <v>42625</v>
      </c>
      <c r="C6" s="9"/>
      <c r="D6" s="9"/>
      <c r="E6" s="9">
        <v>220000</v>
      </c>
      <c r="F6" s="9"/>
      <c r="G6" s="9"/>
      <c r="H6" s="9"/>
      <c r="I6" s="9"/>
    </row>
    <row r="7" spans="1:9">
      <c r="A7" s="13"/>
      <c r="B7" s="13">
        <v>42654</v>
      </c>
      <c r="C7" s="9"/>
      <c r="D7" s="9"/>
      <c r="E7" s="9">
        <v>220000</v>
      </c>
      <c r="F7" s="9"/>
      <c r="G7" s="9"/>
      <c r="H7" s="9"/>
      <c r="I7" s="9"/>
    </row>
    <row r="8" spans="1:9">
      <c r="A8" s="13"/>
      <c r="B8" s="13">
        <v>42684</v>
      </c>
      <c r="C8" s="9"/>
      <c r="D8" s="9"/>
      <c r="E8" s="9">
        <v>220000</v>
      </c>
      <c r="F8" s="9"/>
      <c r="G8" s="9"/>
      <c r="H8" s="9"/>
      <c r="I8" s="9"/>
    </row>
    <row r="9" spans="1:9">
      <c r="A9" s="13"/>
      <c r="B9" s="13">
        <v>42714</v>
      </c>
      <c r="C9" s="9"/>
      <c r="D9" s="9"/>
      <c r="E9" s="9">
        <v>220000</v>
      </c>
      <c r="F9" s="9"/>
      <c r="G9" s="9"/>
      <c r="H9" s="9"/>
      <c r="I9" s="9"/>
    </row>
    <row r="10" spans="1:9">
      <c r="A10" s="13"/>
      <c r="B10" s="13">
        <v>42745</v>
      </c>
      <c r="C10" s="9"/>
      <c r="D10" s="9"/>
      <c r="E10" s="9">
        <v>220000</v>
      </c>
      <c r="F10" s="9"/>
      <c r="G10" s="9"/>
      <c r="H10" s="9"/>
      <c r="I10" s="9"/>
    </row>
    <row r="11" spans="1:9">
      <c r="A11" s="13"/>
      <c r="B11" s="13">
        <v>42783</v>
      </c>
      <c r="C11" s="9"/>
      <c r="D11" s="9"/>
      <c r="E11" s="9">
        <v>220000</v>
      </c>
      <c r="F11" s="9"/>
      <c r="G11" s="9"/>
      <c r="H11" s="9"/>
      <c r="I11" s="9"/>
    </row>
    <row r="12" spans="1:9">
      <c r="A12" s="13"/>
      <c r="B12" s="13">
        <v>42804</v>
      </c>
      <c r="C12" s="9"/>
      <c r="D12" s="9"/>
      <c r="E12" s="9">
        <v>220000</v>
      </c>
      <c r="F12" s="9"/>
      <c r="G12" s="9"/>
      <c r="H12" s="9"/>
      <c r="I12" s="9"/>
    </row>
    <row r="13" spans="1:9">
      <c r="A13" s="13"/>
      <c r="B13" s="13">
        <v>42836</v>
      </c>
      <c r="C13" s="9"/>
      <c r="D13" s="9"/>
      <c r="E13" s="9">
        <v>220000</v>
      </c>
      <c r="F13" s="9"/>
      <c r="G13" s="9"/>
      <c r="H13" s="9"/>
      <c r="I13" s="9"/>
    </row>
    <row r="14" spans="1:9">
      <c r="A14" s="13"/>
      <c r="B14" s="13">
        <v>42865</v>
      </c>
      <c r="C14" s="9"/>
      <c r="D14" s="9"/>
      <c r="E14" s="9">
        <v>220000</v>
      </c>
      <c r="F14" s="9"/>
      <c r="G14" s="9"/>
      <c r="H14" s="9"/>
      <c r="I14" s="9"/>
    </row>
    <row r="15" spans="1:9">
      <c r="A15" s="13"/>
      <c r="B15" s="13">
        <v>42898</v>
      </c>
      <c r="C15" s="9"/>
      <c r="D15" s="9"/>
      <c r="E15" s="9">
        <v>220000</v>
      </c>
      <c r="F15" s="9"/>
      <c r="G15" s="9"/>
      <c r="H15" s="9"/>
      <c r="I15" s="9"/>
    </row>
    <row r="16" spans="1:9">
      <c r="A16" s="13"/>
      <c r="B16" s="13">
        <v>42926</v>
      </c>
      <c r="C16" s="9"/>
      <c r="D16" s="9"/>
      <c r="E16" s="9">
        <v>220000</v>
      </c>
      <c r="F16" s="9"/>
      <c r="G16" s="9"/>
      <c r="H16" s="9"/>
      <c r="I16" s="9"/>
    </row>
    <row r="17" spans="1:9">
      <c r="A17" s="21"/>
      <c r="B17" s="21">
        <v>42957</v>
      </c>
      <c r="C17" s="20"/>
      <c r="D17" s="20"/>
      <c r="E17" s="20">
        <v>220000</v>
      </c>
      <c r="F17" s="20"/>
      <c r="G17" s="20"/>
      <c r="H17" s="20"/>
      <c r="I17" s="9"/>
    </row>
    <row r="20" spans="1:9">
      <c r="A20" t="s">
        <v>12</v>
      </c>
      <c r="C20" s="11">
        <f>SUM(C3:C19)</f>
        <v>50000000</v>
      </c>
      <c r="D20" s="11">
        <f>SUM(D3:D18)</f>
        <v>0</v>
      </c>
      <c r="E20" s="11">
        <f>SUM(E3:E18)</f>
        <v>2640000</v>
      </c>
      <c r="F20" s="11">
        <f>SUM(F3:F18)</f>
        <v>1980000</v>
      </c>
      <c r="G20" s="11">
        <f>SUM(G3:G18)</f>
        <v>0</v>
      </c>
      <c r="H20" s="11">
        <f>SUM(H3:H18)</f>
        <v>3300000</v>
      </c>
      <c r="I20" s="11">
        <f>SUM(I3:I17)</f>
        <v>0</v>
      </c>
    </row>
  </sheetData>
  <mergeCells count="1">
    <mergeCell ref="A1:G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K22"/>
  <sheetViews>
    <sheetView workbookViewId="0">
      <selection activeCell="J1" sqref="J1"/>
    </sheetView>
  </sheetViews>
  <sheetFormatPr defaultColWidth="9" defaultRowHeight="13.5"/>
  <cols>
    <col min="1" max="1" width="10.5" customWidth="1"/>
    <col min="2" max="2" width="11.625" customWidth="1"/>
    <col min="3" max="4" width="18.375" customWidth="1"/>
    <col min="5" max="5" width="17.25" customWidth="1"/>
    <col min="6" max="6" width="16.125" customWidth="1"/>
    <col min="9" max="9" width="16.125" customWidth="1"/>
    <col min="11" max="11" width="11" customWidth="1"/>
  </cols>
  <sheetData>
    <row r="1" ht="18.75" spans="1:11">
      <c r="A1" s="1" t="s">
        <v>618</v>
      </c>
      <c r="B1" s="1"/>
      <c r="C1" s="1"/>
      <c r="D1" s="1"/>
      <c r="E1" s="1"/>
      <c r="F1" s="1"/>
      <c r="G1" s="1"/>
      <c r="H1" s="2"/>
      <c r="J1" s="12" t="s">
        <v>544</v>
      </c>
      <c r="K1" s="12" t="s">
        <v>545</v>
      </c>
    </row>
    <row r="2" spans="1:9">
      <c r="A2" s="3" t="s">
        <v>2</v>
      </c>
      <c r="B2" s="3" t="s">
        <v>3</v>
      </c>
      <c r="C2" s="3" t="s">
        <v>6</v>
      </c>
      <c r="D2" s="3" t="s">
        <v>513</v>
      </c>
      <c r="E2" s="3" t="s">
        <v>515</v>
      </c>
      <c r="F2" s="3" t="s">
        <v>517</v>
      </c>
      <c r="G2" s="3" t="s">
        <v>548</v>
      </c>
      <c r="H2" s="4" t="s">
        <v>549</v>
      </c>
      <c r="I2" s="4" t="s">
        <v>522</v>
      </c>
    </row>
    <row r="3" spans="1:9">
      <c r="A3" s="6">
        <v>42509</v>
      </c>
      <c r="B3" s="6">
        <v>42873</v>
      </c>
      <c r="C3" s="9">
        <v>100000000</v>
      </c>
      <c r="D3" s="9"/>
      <c r="E3" s="9"/>
      <c r="F3" s="9"/>
      <c r="G3" s="9">
        <v>0</v>
      </c>
      <c r="H3" s="9">
        <v>0</v>
      </c>
      <c r="I3" s="9"/>
    </row>
    <row r="4" spans="1:9">
      <c r="A4" s="6"/>
      <c r="B4" s="6">
        <v>42541</v>
      </c>
      <c r="C4" s="9"/>
      <c r="D4" s="9"/>
      <c r="E4" s="9">
        <v>750000</v>
      </c>
      <c r="F4" s="9">
        <v>250000</v>
      </c>
      <c r="G4" s="9"/>
      <c r="H4" s="9"/>
      <c r="I4" s="9"/>
    </row>
    <row r="5" spans="1:9">
      <c r="A5" s="6"/>
      <c r="B5" s="6">
        <v>42571</v>
      </c>
      <c r="C5" s="9"/>
      <c r="D5" s="9"/>
      <c r="E5" s="9">
        <v>750000</v>
      </c>
      <c r="F5" s="9">
        <v>250000</v>
      </c>
      <c r="G5" s="9"/>
      <c r="H5" s="9"/>
      <c r="I5" s="9"/>
    </row>
    <row r="6" spans="1:9">
      <c r="A6" s="6"/>
      <c r="B6" s="6">
        <v>42601</v>
      </c>
      <c r="C6" s="9"/>
      <c r="D6" s="9"/>
      <c r="E6" s="9">
        <v>750000</v>
      </c>
      <c r="F6" s="9">
        <v>250000</v>
      </c>
      <c r="G6" s="9"/>
      <c r="H6" s="9"/>
      <c r="I6" s="9"/>
    </row>
    <row r="7" spans="1:9">
      <c r="A7" s="6"/>
      <c r="B7" s="6">
        <v>42633</v>
      </c>
      <c r="C7" s="9"/>
      <c r="D7" s="9"/>
      <c r="E7" s="9">
        <v>750000</v>
      </c>
      <c r="F7" s="9">
        <v>250000</v>
      </c>
      <c r="G7" s="9"/>
      <c r="H7" s="9"/>
      <c r="I7" s="9"/>
    </row>
    <row r="8" spans="1:9">
      <c r="A8" s="6"/>
      <c r="B8" s="6">
        <v>42663</v>
      </c>
      <c r="C8" s="9"/>
      <c r="D8" s="9"/>
      <c r="E8" s="9">
        <v>750000</v>
      </c>
      <c r="F8" s="9">
        <v>250000</v>
      </c>
      <c r="G8" s="9"/>
      <c r="H8" s="9"/>
      <c r="I8" s="9"/>
    </row>
    <row r="9" spans="1:9">
      <c r="A9" s="6"/>
      <c r="B9" s="6">
        <v>42692</v>
      </c>
      <c r="C9" s="9"/>
      <c r="D9" s="9"/>
      <c r="E9" s="9">
        <v>750000</v>
      </c>
      <c r="F9" s="9">
        <v>250000</v>
      </c>
      <c r="G9" s="9"/>
      <c r="H9" s="9"/>
      <c r="I9" s="9"/>
    </row>
    <row r="10" spans="1:9">
      <c r="A10" s="6"/>
      <c r="B10" s="6">
        <v>42724</v>
      </c>
      <c r="C10" s="9"/>
      <c r="D10" s="9"/>
      <c r="E10" s="9">
        <v>750000</v>
      </c>
      <c r="F10" s="9">
        <v>250000</v>
      </c>
      <c r="G10" s="9"/>
      <c r="H10" s="9"/>
      <c r="I10" s="9"/>
    </row>
    <row r="11" spans="1:9">
      <c r="A11" s="6"/>
      <c r="B11" s="6">
        <v>42755</v>
      </c>
      <c r="C11" s="9"/>
      <c r="D11" s="9"/>
      <c r="E11" s="9">
        <v>750000</v>
      </c>
      <c r="F11" s="9">
        <v>250000</v>
      </c>
      <c r="G11" s="9"/>
      <c r="H11" s="9"/>
      <c r="I11" s="9"/>
    </row>
    <row r="12" spans="1:9">
      <c r="A12" s="6"/>
      <c r="B12" s="6">
        <v>42786</v>
      </c>
      <c r="C12" s="9"/>
      <c r="D12" s="9"/>
      <c r="E12" s="9">
        <v>750000</v>
      </c>
      <c r="F12" s="9">
        <v>250000</v>
      </c>
      <c r="G12" s="9"/>
      <c r="H12" s="9"/>
      <c r="I12" s="9"/>
    </row>
    <row r="13" spans="1:9">
      <c r="A13" s="6"/>
      <c r="B13" s="6">
        <v>42814</v>
      </c>
      <c r="C13" s="9"/>
      <c r="D13" s="9"/>
      <c r="E13" s="9">
        <v>750000</v>
      </c>
      <c r="F13" s="9">
        <v>250000</v>
      </c>
      <c r="G13" s="9"/>
      <c r="H13" s="9"/>
      <c r="I13" s="9"/>
    </row>
    <row r="14" spans="1:9">
      <c r="A14" s="6"/>
      <c r="B14" s="6">
        <v>42845</v>
      </c>
      <c r="C14" s="9"/>
      <c r="D14" s="9"/>
      <c r="E14" s="9">
        <v>750000</v>
      </c>
      <c r="F14" s="9">
        <v>250000</v>
      </c>
      <c r="G14" s="9"/>
      <c r="H14" s="9"/>
      <c r="I14" s="9"/>
    </row>
    <row r="15" spans="1:9">
      <c r="A15" s="6"/>
      <c r="B15" s="6">
        <v>42874</v>
      </c>
      <c r="C15" s="9"/>
      <c r="D15" s="9"/>
      <c r="E15" s="9">
        <v>750000</v>
      </c>
      <c r="F15" s="9">
        <v>250000</v>
      </c>
      <c r="G15" s="9"/>
      <c r="H15" s="9"/>
      <c r="I15" s="9"/>
    </row>
    <row r="16" spans="1:9">
      <c r="A16" s="6"/>
      <c r="B16" s="6">
        <v>42895</v>
      </c>
      <c r="C16" s="9"/>
      <c r="D16" s="9">
        <v>20000000</v>
      </c>
      <c r="E16" s="9"/>
      <c r="F16" s="9"/>
      <c r="G16" s="9"/>
      <c r="H16" s="9"/>
      <c r="I16" s="9">
        <v>1750000</v>
      </c>
    </row>
    <row r="17" spans="1:9">
      <c r="A17" s="6"/>
      <c r="B17" s="6">
        <v>42930</v>
      </c>
      <c r="C17" s="9"/>
      <c r="D17" s="9">
        <v>20000000</v>
      </c>
      <c r="E17" s="9"/>
      <c r="F17" s="9"/>
      <c r="G17" s="9"/>
      <c r="H17" s="9"/>
      <c r="I17" s="9">
        <v>1793300</v>
      </c>
    </row>
    <row r="18" spans="1:9">
      <c r="A18" s="19"/>
      <c r="B18" s="19">
        <v>42962</v>
      </c>
      <c r="C18" s="20"/>
      <c r="D18" s="20">
        <v>20000000</v>
      </c>
      <c r="E18" s="20"/>
      <c r="F18" s="20"/>
      <c r="G18" s="20"/>
      <c r="H18" s="20"/>
      <c r="I18" s="20">
        <v>1200000</v>
      </c>
    </row>
    <row r="19" spans="1:9">
      <c r="A19" s="19"/>
      <c r="B19" s="21">
        <v>42993</v>
      </c>
      <c r="C19" s="20"/>
      <c r="D19" s="20">
        <v>20000000</v>
      </c>
      <c r="E19" s="20"/>
      <c r="F19" s="20"/>
      <c r="G19" s="20"/>
      <c r="H19" s="20"/>
      <c r="I19" s="20">
        <v>800000</v>
      </c>
    </row>
    <row r="20" spans="1:9">
      <c r="A20" s="19"/>
      <c r="B20" s="19">
        <v>43024</v>
      </c>
      <c r="C20" s="20"/>
      <c r="D20" s="20">
        <v>20000000</v>
      </c>
      <c r="E20" s="20"/>
      <c r="F20" s="20"/>
      <c r="G20" s="20"/>
      <c r="H20" s="20"/>
      <c r="I20" s="20">
        <v>400000</v>
      </c>
    </row>
    <row r="22" spans="1:9">
      <c r="A22" t="s">
        <v>12</v>
      </c>
      <c r="D22" s="11">
        <f>SUM(D3:D20)</f>
        <v>100000000</v>
      </c>
      <c r="E22" s="11">
        <f>SUM(E4:E18)</f>
        <v>9000000</v>
      </c>
      <c r="F22" s="11">
        <f>SUM(F4:F17)</f>
        <v>3000000</v>
      </c>
      <c r="G22" s="11">
        <f>SUM(G3:G17)</f>
        <v>0</v>
      </c>
      <c r="H22" s="11">
        <f>SUM(H3:H17)</f>
        <v>0</v>
      </c>
      <c r="I22" s="11">
        <f>SUM(I3:I21)</f>
        <v>5943300</v>
      </c>
    </row>
  </sheetData>
  <mergeCells count="1">
    <mergeCell ref="A1:G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K14"/>
  <sheetViews>
    <sheetView workbookViewId="0">
      <selection activeCell="J1" sqref="J1"/>
    </sheetView>
  </sheetViews>
  <sheetFormatPr defaultColWidth="9" defaultRowHeight="13.5"/>
  <cols>
    <col min="1" max="1" width="10.5" customWidth="1"/>
    <col min="2" max="2" width="11.625" customWidth="1"/>
    <col min="3" max="4" width="18.375" customWidth="1"/>
    <col min="5" max="6" width="16.125" customWidth="1"/>
    <col min="7" max="7" width="13.875" customWidth="1"/>
    <col min="8" max="8" width="17.25" customWidth="1"/>
    <col min="11" max="11" width="11" customWidth="1"/>
  </cols>
  <sheetData>
    <row r="1" ht="18.75" spans="1:11">
      <c r="A1" s="2" t="s">
        <v>619</v>
      </c>
      <c r="B1" s="2"/>
      <c r="C1" s="2"/>
      <c r="D1" s="2"/>
      <c r="E1" s="2"/>
      <c r="F1" s="2"/>
      <c r="G1" s="2"/>
      <c r="H1" s="2"/>
      <c r="I1" s="2"/>
      <c r="J1" s="12" t="s">
        <v>544</v>
      </c>
      <c r="K1" s="12" t="s">
        <v>545</v>
      </c>
    </row>
    <row r="2" spans="1:9">
      <c r="A2" s="3" t="s">
        <v>2</v>
      </c>
      <c r="B2" s="18" t="s">
        <v>620</v>
      </c>
      <c r="C2" s="3" t="s">
        <v>6</v>
      </c>
      <c r="D2" s="3" t="s">
        <v>513</v>
      </c>
      <c r="E2" s="3" t="s">
        <v>515</v>
      </c>
      <c r="F2" s="3" t="s">
        <v>547</v>
      </c>
      <c r="G2" s="3" t="s">
        <v>548</v>
      </c>
      <c r="H2" s="4" t="s">
        <v>549</v>
      </c>
      <c r="I2" s="4" t="s">
        <v>522</v>
      </c>
    </row>
    <row r="3" spans="1:9">
      <c r="A3" s="6">
        <v>42489</v>
      </c>
      <c r="B3" s="6">
        <v>42853</v>
      </c>
      <c r="C3" s="9">
        <v>10000000</v>
      </c>
      <c r="D3" s="9"/>
      <c r="E3" s="9"/>
      <c r="F3" s="9"/>
      <c r="G3" s="9"/>
      <c r="H3" s="9">
        <v>1000000</v>
      </c>
      <c r="I3" s="9"/>
    </row>
    <row r="4" spans="1:9">
      <c r="A4" s="6"/>
      <c r="B4" s="6">
        <v>42489</v>
      </c>
      <c r="C4" s="9"/>
      <c r="D4" s="9"/>
      <c r="E4" s="9">
        <v>400000</v>
      </c>
      <c r="F4" s="9">
        <v>200000</v>
      </c>
      <c r="G4" s="9">
        <v>150000</v>
      </c>
      <c r="H4" s="9"/>
      <c r="I4" s="9"/>
    </row>
    <row r="5" spans="1:9">
      <c r="A5" s="6">
        <v>42509</v>
      </c>
      <c r="B5" s="6">
        <v>42873</v>
      </c>
      <c r="C5" s="9">
        <v>15000000</v>
      </c>
      <c r="D5" s="9"/>
      <c r="E5" s="9"/>
      <c r="F5" s="9"/>
      <c r="G5" s="9"/>
      <c r="H5" s="9"/>
      <c r="I5" s="9"/>
    </row>
    <row r="6" spans="1:9">
      <c r="A6" s="6"/>
      <c r="B6" s="6">
        <v>42509</v>
      </c>
      <c r="C6" s="9"/>
      <c r="D6" s="9"/>
      <c r="E6" s="9">
        <v>600000</v>
      </c>
      <c r="F6" s="9">
        <v>300000</v>
      </c>
      <c r="G6" s="9">
        <v>225000</v>
      </c>
      <c r="H6" s="9">
        <v>1500000</v>
      </c>
      <c r="I6" s="9"/>
    </row>
    <row r="7" spans="1:9">
      <c r="A7" s="6">
        <v>42522</v>
      </c>
      <c r="B7" s="6">
        <v>42886</v>
      </c>
      <c r="C7" s="9">
        <v>5000000</v>
      </c>
      <c r="D7" s="9"/>
      <c r="E7" s="9"/>
      <c r="F7" s="9"/>
      <c r="G7" s="9"/>
      <c r="H7" s="9"/>
      <c r="I7" s="9"/>
    </row>
    <row r="8" spans="1:9">
      <c r="A8" s="6"/>
      <c r="B8" s="6">
        <v>42523</v>
      </c>
      <c r="C8" s="9"/>
      <c r="D8" s="9"/>
      <c r="E8" s="9">
        <v>200000</v>
      </c>
      <c r="F8" s="9">
        <v>100000</v>
      </c>
      <c r="G8" s="9">
        <v>75000</v>
      </c>
      <c r="H8" s="9">
        <v>500000</v>
      </c>
      <c r="I8" s="9"/>
    </row>
    <row r="9" spans="1:9">
      <c r="A9" s="6"/>
      <c r="B9" s="6">
        <v>42669</v>
      </c>
      <c r="C9" s="9">
        <v>-30000000</v>
      </c>
      <c r="D9" s="9"/>
      <c r="E9" s="9"/>
      <c r="F9" s="9"/>
      <c r="G9" s="9"/>
      <c r="H9" s="9">
        <v>-3000000</v>
      </c>
      <c r="I9" s="9"/>
    </row>
    <row r="10" spans="1:9">
      <c r="A10" s="6"/>
      <c r="B10" s="6">
        <v>42690</v>
      </c>
      <c r="C10" s="9">
        <v>30000000</v>
      </c>
      <c r="D10" s="9"/>
      <c r="E10" s="9">
        <v>1200000</v>
      </c>
      <c r="F10" s="9">
        <v>600000</v>
      </c>
      <c r="G10" s="9">
        <v>450000</v>
      </c>
      <c r="H10" s="9">
        <v>3000000</v>
      </c>
      <c r="I10" s="9"/>
    </row>
    <row r="11" spans="1:9">
      <c r="A11" s="6"/>
      <c r="B11" s="6">
        <v>42870</v>
      </c>
      <c r="C11" s="9"/>
      <c r="D11" s="9">
        <v>30000000</v>
      </c>
      <c r="E11" s="9"/>
      <c r="F11" s="9"/>
      <c r="G11" s="9"/>
      <c r="H11" s="9">
        <v>-3000000</v>
      </c>
      <c r="I11" s="9"/>
    </row>
    <row r="14" spans="1:9">
      <c r="A14" t="s">
        <v>12</v>
      </c>
      <c r="C14" s="11">
        <f t="shared" ref="C14:H14" si="0">SUM(C3:C13)</f>
        <v>30000000</v>
      </c>
      <c r="D14" s="11">
        <f t="shared" si="0"/>
        <v>30000000</v>
      </c>
      <c r="E14" s="11">
        <f t="shared" si="0"/>
        <v>2400000</v>
      </c>
      <c r="F14" s="11">
        <f t="shared" si="0"/>
        <v>1200000</v>
      </c>
      <c r="G14" s="11">
        <f t="shared" si="0"/>
        <v>900000</v>
      </c>
      <c r="H14" s="11">
        <f t="shared" si="0"/>
        <v>0</v>
      </c>
      <c r="I14" s="11">
        <f>SUM(I3:I11)</f>
        <v>0</v>
      </c>
    </row>
  </sheetData>
  <mergeCells count="1">
    <mergeCell ref="A1:I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K20"/>
  <sheetViews>
    <sheetView workbookViewId="0">
      <selection activeCell="J1" sqref="J1"/>
    </sheetView>
  </sheetViews>
  <sheetFormatPr defaultColWidth="9" defaultRowHeight="13.5"/>
  <cols>
    <col min="1" max="1" width="10.5" customWidth="1"/>
    <col min="2" max="2" width="11.625" customWidth="1"/>
    <col min="3" max="4" width="17.25" customWidth="1"/>
    <col min="5" max="5" width="16.125" customWidth="1"/>
    <col min="6" max="6" width="13.875" customWidth="1"/>
    <col min="7" max="7" width="16.125" customWidth="1"/>
    <col min="8" max="8" width="17.25" customWidth="1"/>
    <col min="11" max="11" width="11" customWidth="1"/>
  </cols>
  <sheetData>
    <row r="1" ht="18.75" spans="1:11">
      <c r="A1" s="1" t="s">
        <v>621</v>
      </c>
      <c r="B1" s="1"/>
      <c r="C1" s="1"/>
      <c r="D1" s="1"/>
      <c r="E1" s="1"/>
      <c r="F1" s="1"/>
      <c r="G1" s="1"/>
      <c r="H1" s="2"/>
      <c r="J1" s="12" t="s">
        <v>544</v>
      </c>
      <c r="K1" s="12" t="s">
        <v>545</v>
      </c>
    </row>
    <row r="2" spans="1:9">
      <c r="A2" s="3" t="s">
        <v>2</v>
      </c>
      <c r="B2" s="3" t="s">
        <v>546</v>
      </c>
      <c r="C2" s="3" t="s">
        <v>6</v>
      </c>
      <c r="D2" s="3" t="s">
        <v>513</v>
      </c>
      <c r="E2" s="3" t="s">
        <v>515</v>
      </c>
      <c r="F2" s="3" t="s">
        <v>547</v>
      </c>
      <c r="G2" s="3" t="s">
        <v>548</v>
      </c>
      <c r="H2" s="4" t="s">
        <v>549</v>
      </c>
      <c r="I2" s="4" t="s">
        <v>522</v>
      </c>
    </row>
    <row r="3" spans="1:9">
      <c r="A3" s="13">
        <v>42640</v>
      </c>
      <c r="B3" s="13">
        <v>42640</v>
      </c>
      <c r="C3" s="9">
        <v>50000000</v>
      </c>
      <c r="D3" s="9"/>
      <c r="E3" s="9"/>
      <c r="F3" s="9">
        <v>750000</v>
      </c>
      <c r="G3" s="9">
        <v>1000000</v>
      </c>
      <c r="H3" s="9">
        <v>2500000</v>
      </c>
      <c r="I3" s="9"/>
    </row>
    <row r="4" spans="1:9">
      <c r="A4" s="13"/>
      <c r="B4" s="13">
        <v>42663</v>
      </c>
      <c r="C4" s="9"/>
      <c r="D4" s="9"/>
      <c r="E4" s="9">
        <v>236301</v>
      </c>
      <c r="F4" s="9"/>
      <c r="G4" s="9"/>
      <c r="H4" s="9"/>
      <c r="I4" s="9"/>
    </row>
    <row r="5" spans="1:9">
      <c r="A5" s="13"/>
      <c r="B5" s="13">
        <v>42692</v>
      </c>
      <c r="C5" s="9"/>
      <c r="D5" s="9"/>
      <c r="E5" s="9">
        <v>318493</v>
      </c>
      <c r="F5" s="9"/>
      <c r="G5" s="9"/>
      <c r="H5" s="9"/>
      <c r="I5" s="9"/>
    </row>
    <row r="6" spans="1:9">
      <c r="A6" s="13"/>
      <c r="B6" s="13">
        <v>42702</v>
      </c>
      <c r="C6" s="9"/>
      <c r="D6" s="9"/>
      <c r="E6" s="9"/>
      <c r="F6" s="9"/>
      <c r="G6" s="9"/>
      <c r="H6" s="9">
        <v>-2500000</v>
      </c>
      <c r="I6" s="9"/>
    </row>
    <row r="7" spans="1:9">
      <c r="A7" s="13"/>
      <c r="B7" s="13">
        <v>42724</v>
      </c>
      <c r="C7" s="9"/>
      <c r="D7" s="9"/>
      <c r="E7" s="9">
        <v>308219</v>
      </c>
      <c r="F7" s="9"/>
      <c r="G7" s="9"/>
      <c r="H7" s="9"/>
      <c r="I7" s="9"/>
    </row>
    <row r="8" spans="1:9">
      <c r="A8" s="13"/>
      <c r="B8" s="13">
        <v>42755</v>
      </c>
      <c r="C8" s="9"/>
      <c r="D8" s="9"/>
      <c r="E8" s="9">
        <v>318493</v>
      </c>
      <c r="F8" s="9"/>
      <c r="G8" s="9"/>
      <c r="H8" s="9"/>
      <c r="I8" s="9"/>
    </row>
    <row r="9" spans="1:9">
      <c r="A9" s="13"/>
      <c r="B9" s="13">
        <v>42786</v>
      </c>
      <c r="C9" s="9"/>
      <c r="D9" s="9"/>
      <c r="E9" s="9">
        <v>318493</v>
      </c>
      <c r="F9" s="9"/>
      <c r="G9" s="9"/>
      <c r="H9" s="9"/>
      <c r="I9" s="9"/>
    </row>
    <row r="10" spans="1:9">
      <c r="A10" s="13"/>
      <c r="B10" s="13">
        <v>42814</v>
      </c>
      <c r="C10" s="9"/>
      <c r="D10" s="9"/>
      <c r="E10" s="9">
        <v>287671</v>
      </c>
      <c r="F10" s="9"/>
      <c r="G10" s="9"/>
      <c r="H10" s="9"/>
      <c r="I10" s="9"/>
    </row>
    <row r="11" spans="1:9">
      <c r="A11" s="13"/>
      <c r="B11" s="13">
        <v>42818</v>
      </c>
      <c r="C11" s="9"/>
      <c r="D11" s="9"/>
      <c r="E11" s="9"/>
      <c r="F11" s="9"/>
      <c r="G11" s="9">
        <v>1000000</v>
      </c>
      <c r="H11" s="9"/>
      <c r="I11" s="9"/>
    </row>
    <row r="12" spans="1:9">
      <c r="A12" s="13"/>
      <c r="B12" s="13">
        <v>42845</v>
      </c>
      <c r="C12" s="9"/>
      <c r="D12" s="9"/>
      <c r="E12" s="9">
        <v>318493</v>
      </c>
      <c r="F12" s="9"/>
      <c r="G12" s="9"/>
      <c r="H12" s="9"/>
      <c r="I12" s="9"/>
    </row>
    <row r="13" spans="1:9">
      <c r="A13" s="13"/>
      <c r="B13" s="13">
        <v>42874</v>
      </c>
      <c r="C13" s="9"/>
      <c r="D13" s="9"/>
      <c r="E13" s="9">
        <v>308219</v>
      </c>
      <c r="F13" s="9"/>
      <c r="G13" s="9"/>
      <c r="H13" s="9"/>
      <c r="I13" s="9"/>
    </row>
    <row r="14" spans="1:9">
      <c r="A14" s="13"/>
      <c r="B14" s="13">
        <v>42906</v>
      </c>
      <c r="C14" s="9"/>
      <c r="D14" s="9"/>
      <c r="E14" s="9">
        <v>318493</v>
      </c>
      <c r="F14" s="9"/>
      <c r="G14" s="9"/>
      <c r="H14" s="9"/>
      <c r="I14" s="9"/>
    </row>
    <row r="15" spans="1:9">
      <c r="A15" s="13"/>
      <c r="B15" s="13">
        <v>42936</v>
      </c>
      <c r="C15" s="9"/>
      <c r="D15" s="9"/>
      <c r="E15" s="9">
        <v>308219</v>
      </c>
      <c r="F15" s="9"/>
      <c r="G15" s="9"/>
      <c r="H15" s="9"/>
      <c r="I15" s="9"/>
    </row>
    <row r="16" spans="1:9">
      <c r="A16" s="13"/>
      <c r="B16" s="13">
        <v>42965</v>
      </c>
      <c r="C16" s="9"/>
      <c r="D16" s="9"/>
      <c r="E16" s="9">
        <v>318493</v>
      </c>
      <c r="F16" s="9"/>
      <c r="G16" s="9"/>
      <c r="H16" s="9"/>
      <c r="I16" s="9"/>
    </row>
    <row r="17" spans="1:9">
      <c r="A17" s="13"/>
      <c r="B17" s="13">
        <v>42996</v>
      </c>
      <c r="C17" s="9"/>
      <c r="D17" s="9">
        <v>50000000</v>
      </c>
      <c r="E17" s="9">
        <v>297945</v>
      </c>
      <c r="F17" s="9"/>
      <c r="G17" s="9"/>
      <c r="H17" s="9"/>
      <c r="I17" s="9"/>
    </row>
    <row r="18" spans="1:9">
      <c r="A18" s="13"/>
      <c r="B18" s="13"/>
      <c r="C18" s="9"/>
      <c r="D18" s="9"/>
      <c r="E18" s="9"/>
      <c r="F18" s="9"/>
      <c r="G18" s="9"/>
      <c r="H18" s="9"/>
      <c r="I18" s="9"/>
    </row>
    <row r="20" spans="1:9">
      <c r="A20" t="s">
        <v>12</v>
      </c>
      <c r="C20" s="11">
        <f t="shared" ref="C20:H20" si="0">SUM(C3:C19)</f>
        <v>50000000</v>
      </c>
      <c r="D20" s="11">
        <f t="shared" si="0"/>
        <v>50000000</v>
      </c>
      <c r="E20" s="11">
        <f t="shared" si="0"/>
        <v>3657532</v>
      </c>
      <c r="F20" s="11">
        <f t="shared" si="0"/>
        <v>750000</v>
      </c>
      <c r="G20" s="11">
        <f t="shared" si="0"/>
        <v>2000000</v>
      </c>
      <c r="H20" s="11">
        <f t="shared" si="0"/>
        <v>0</v>
      </c>
      <c r="I20" s="11">
        <f>SUM(I3:I18)</f>
        <v>0</v>
      </c>
    </row>
  </sheetData>
  <mergeCells count="1">
    <mergeCell ref="A1:G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K20"/>
  <sheetViews>
    <sheetView workbookViewId="0">
      <selection activeCell="J1" sqref="J1"/>
    </sheetView>
  </sheetViews>
  <sheetFormatPr defaultColWidth="9" defaultRowHeight="13.5"/>
  <cols>
    <col min="1" max="1" width="10.5" customWidth="1"/>
    <col min="2" max="2" width="11.625" customWidth="1"/>
    <col min="3" max="4" width="17.25" customWidth="1"/>
    <col min="5" max="5" width="16.125" customWidth="1"/>
    <col min="6" max="6" width="13.875" customWidth="1"/>
    <col min="7" max="7" width="16.125" customWidth="1"/>
    <col min="8" max="8" width="17.25" customWidth="1"/>
    <col min="11" max="11" width="11" customWidth="1"/>
  </cols>
  <sheetData>
    <row r="1" ht="18.75" spans="1:11">
      <c r="A1" s="1" t="s">
        <v>622</v>
      </c>
      <c r="B1" s="1"/>
      <c r="C1" s="1"/>
      <c r="D1" s="1"/>
      <c r="E1" s="1"/>
      <c r="F1" s="1"/>
      <c r="G1" s="1"/>
      <c r="H1" s="2"/>
      <c r="J1" s="12" t="s">
        <v>544</v>
      </c>
      <c r="K1" s="12" t="s">
        <v>545</v>
      </c>
    </row>
    <row r="2" spans="1:9">
      <c r="A2" s="3" t="s">
        <v>2</v>
      </c>
      <c r="B2" s="3" t="s">
        <v>546</v>
      </c>
      <c r="C2" s="3" t="s">
        <v>6</v>
      </c>
      <c r="D2" s="3" t="s">
        <v>513</v>
      </c>
      <c r="E2" s="3" t="s">
        <v>515</v>
      </c>
      <c r="F2" s="3" t="s">
        <v>547</v>
      </c>
      <c r="G2" s="3" t="s">
        <v>548</v>
      </c>
      <c r="H2" s="4" t="s">
        <v>549</v>
      </c>
      <c r="I2" s="4" t="s">
        <v>522</v>
      </c>
    </row>
    <row r="3" spans="1:9">
      <c r="A3" s="13">
        <v>42643</v>
      </c>
      <c r="B3" s="13">
        <v>42643</v>
      </c>
      <c r="C3" s="9">
        <v>50000000</v>
      </c>
      <c r="D3" s="9"/>
      <c r="E3" s="9"/>
      <c r="F3" s="9">
        <v>750000</v>
      </c>
      <c r="G3" s="9">
        <v>1000000</v>
      </c>
      <c r="H3" s="9">
        <v>2500000</v>
      </c>
      <c r="I3" s="9"/>
    </row>
    <row r="4" spans="1:9">
      <c r="A4" s="13"/>
      <c r="B4" s="13">
        <v>42663</v>
      </c>
      <c r="C4" s="9"/>
      <c r="D4" s="9"/>
      <c r="E4" s="9">
        <v>205479</v>
      </c>
      <c r="F4" s="9"/>
      <c r="G4" s="9"/>
      <c r="H4" s="9"/>
      <c r="I4" s="9"/>
    </row>
    <row r="5" spans="1:9">
      <c r="A5" s="13"/>
      <c r="B5" s="13">
        <v>42692</v>
      </c>
      <c r="C5" s="9"/>
      <c r="D5" s="9"/>
      <c r="E5" s="9">
        <v>318493</v>
      </c>
      <c r="F5" s="9"/>
      <c r="G5" s="9"/>
      <c r="H5" s="9"/>
      <c r="I5" s="9"/>
    </row>
    <row r="6" spans="1:9">
      <c r="A6" s="13"/>
      <c r="B6" s="13">
        <v>42702</v>
      </c>
      <c r="C6" s="9"/>
      <c r="D6" s="9"/>
      <c r="E6" s="9"/>
      <c r="F6" s="9"/>
      <c r="G6" s="9"/>
      <c r="H6" s="9">
        <v>-2500000</v>
      </c>
      <c r="I6" s="9"/>
    </row>
    <row r="7" spans="1:9">
      <c r="A7" s="13"/>
      <c r="B7" s="13">
        <v>42724</v>
      </c>
      <c r="C7" s="9"/>
      <c r="D7" s="9"/>
      <c r="E7" s="9">
        <v>308219</v>
      </c>
      <c r="F7" s="9"/>
      <c r="G7" s="9"/>
      <c r="H7" s="9"/>
      <c r="I7" s="9"/>
    </row>
    <row r="8" spans="1:9">
      <c r="A8" s="13"/>
      <c r="B8" s="13">
        <v>42755</v>
      </c>
      <c r="C8" s="9"/>
      <c r="D8" s="9"/>
      <c r="E8" s="9">
        <v>318493</v>
      </c>
      <c r="F8" s="9"/>
      <c r="G8" s="9"/>
      <c r="H8" s="9"/>
      <c r="I8" s="9"/>
    </row>
    <row r="9" spans="1:9">
      <c r="A9" s="13"/>
      <c r="B9" s="13">
        <v>42786</v>
      </c>
      <c r="C9" s="9"/>
      <c r="D9" s="9"/>
      <c r="E9" s="9">
        <v>318493</v>
      </c>
      <c r="F9" s="9"/>
      <c r="G9" s="9"/>
      <c r="H9" s="9"/>
      <c r="I9" s="9"/>
    </row>
    <row r="10" spans="1:9">
      <c r="A10" s="13"/>
      <c r="B10" s="13">
        <v>42814</v>
      </c>
      <c r="C10" s="9"/>
      <c r="D10" s="9"/>
      <c r="E10" s="9">
        <v>287671</v>
      </c>
      <c r="F10" s="9"/>
      <c r="G10" s="9"/>
      <c r="H10" s="9"/>
      <c r="I10" s="9"/>
    </row>
    <row r="11" spans="1:9">
      <c r="A11" s="13"/>
      <c r="B11" s="13">
        <v>42822</v>
      </c>
      <c r="C11" s="9"/>
      <c r="D11" s="9"/>
      <c r="E11" s="9"/>
      <c r="F11" s="9"/>
      <c r="G11" s="9">
        <v>1000000</v>
      </c>
      <c r="H11" s="9"/>
      <c r="I11" s="9"/>
    </row>
    <row r="12" spans="1:9">
      <c r="A12" s="13"/>
      <c r="B12" s="13">
        <v>42845</v>
      </c>
      <c r="C12" s="9"/>
      <c r="D12" s="9"/>
      <c r="E12" s="9">
        <v>318493</v>
      </c>
      <c r="F12" s="9"/>
      <c r="G12" s="9"/>
      <c r="H12" s="9"/>
      <c r="I12" s="9"/>
    </row>
    <row r="13" spans="1:9">
      <c r="A13" s="13"/>
      <c r="B13" s="13">
        <v>42874</v>
      </c>
      <c r="C13" s="9"/>
      <c r="D13" s="9"/>
      <c r="E13" s="9">
        <v>308219</v>
      </c>
      <c r="F13" s="9"/>
      <c r="G13" s="9"/>
      <c r="H13" s="9"/>
      <c r="I13" s="9"/>
    </row>
    <row r="14" spans="1:9">
      <c r="A14" s="13"/>
      <c r="B14" s="13">
        <v>42906</v>
      </c>
      <c r="C14" s="9"/>
      <c r="D14" s="9"/>
      <c r="E14" s="9">
        <v>318493</v>
      </c>
      <c r="F14" s="9"/>
      <c r="G14" s="9"/>
      <c r="H14" s="9"/>
      <c r="I14" s="9"/>
    </row>
    <row r="15" spans="1:9">
      <c r="A15" s="13"/>
      <c r="B15" s="13">
        <v>42936</v>
      </c>
      <c r="C15" s="9"/>
      <c r="D15" s="9"/>
      <c r="E15" s="9">
        <v>308219</v>
      </c>
      <c r="F15" s="9"/>
      <c r="G15" s="9"/>
      <c r="H15" s="9"/>
      <c r="I15" s="9"/>
    </row>
    <row r="16" spans="1:9">
      <c r="A16" s="13"/>
      <c r="B16" s="13">
        <v>42965</v>
      </c>
      <c r="C16" s="9"/>
      <c r="D16" s="9"/>
      <c r="E16" s="9">
        <v>318493</v>
      </c>
      <c r="F16" s="9"/>
      <c r="G16" s="9"/>
      <c r="H16" s="9"/>
      <c r="I16" s="9"/>
    </row>
    <row r="17" spans="1:9">
      <c r="A17" s="13"/>
      <c r="B17" s="13">
        <v>42996</v>
      </c>
      <c r="C17" s="9"/>
      <c r="D17" s="9">
        <v>50000000</v>
      </c>
      <c r="E17" s="9">
        <v>297945</v>
      </c>
      <c r="F17" s="9"/>
      <c r="G17" s="9"/>
      <c r="H17" s="9"/>
      <c r="I17" s="9"/>
    </row>
    <row r="18" spans="1:9">
      <c r="A18" s="13"/>
      <c r="B18" s="13"/>
      <c r="C18" s="9"/>
      <c r="D18" s="9"/>
      <c r="E18" s="9"/>
      <c r="F18" s="9"/>
      <c r="G18" s="9"/>
      <c r="H18" s="9"/>
      <c r="I18" s="9"/>
    </row>
    <row r="20" spans="1:9">
      <c r="A20" t="s">
        <v>12</v>
      </c>
      <c r="C20" s="11">
        <f>SUM(C3:C19)</f>
        <v>50000000</v>
      </c>
      <c r="D20" s="11">
        <f>SUM(D3:D15)</f>
        <v>0</v>
      </c>
      <c r="E20" s="11">
        <f>SUM(E3:E19)</f>
        <v>3626710</v>
      </c>
      <c r="F20" s="11">
        <f>SUM(F3:F19)</f>
        <v>750000</v>
      </c>
      <c r="G20" s="11">
        <f>SUM(G3:G19)</f>
        <v>2000000</v>
      </c>
      <c r="H20" s="11">
        <f>SUM(H3:H19)</f>
        <v>0</v>
      </c>
      <c r="I20" s="11">
        <f>SUM(I3:I15)</f>
        <v>0</v>
      </c>
    </row>
  </sheetData>
  <mergeCells count="1">
    <mergeCell ref="A1:G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K21"/>
  <sheetViews>
    <sheetView workbookViewId="0">
      <selection activeCell="A1" sqref="$A1:$XFD1048576"/>
    </sheetView>
  </sheetViews>
  <sheetFormatPr defaultColWidth="9" defaultRowHeight="13.5"/>
  <cols>
    <col min="1" max="2" width="11.625" customWidth="1"/>
    <col min="3" max="4" width="17.25" customWidth="1"/>
    <col min="5" max="5" width="16.125" customWidth="1"/>
    <col min="6" max="6" width="11.875" customWidth="1"/>
    <col min="7" max="8" width="16.125" customWidth="1"/>
    <col min="11" max="11" width="11" customWidth="1"/>
  </cols>
  <sheetData>
    <row r="1" ht="18.75" spans="1:11">
      <c r="A1" s="1" t="s">
        <v>623</v>
      </c>
      <c r="B1" s="1"/>
      <c r="C1" s="1"/>
      <c r="D1" s="1"/>
      <c r="E1" s="1"/>
      <c r="F1" s="1"/>
      <c r="G1" s="1"/>
      <c r="H1" s="2"/>
      <c r="J1" s="12" t="s">
        <v>544</v>
      </c>
      <c r="K1" s="12" t="s">
        <v>545</v>
      </c>
    </row>
    <row r="2" spans="1:9">
      <c r="A2" s="3" t="s">
        <v>2</v>
      </c>
      <c r="B2" s="3" t="s">
        <v>557</v>
      </c>
      <c r="C2" s="3" t="s">
        <v>6</v>
      </c>
      <c r="D2" s="3" t="s">
        <v>624</v>
      </c>
      <c r="E2" s="3" t="s">
        <v>515</v>
      </c>
      <c r="F2" s="3" t="s">
        <v>517</v>
      </c>
      <c r="G2" s="3" t="s">
        <v>519</v>
      </c>
      <c r="H2" s="4" t="s">
        <v>521</v>
      </c>
      <c r="I2" s="4" t="s">
        <v>522</v>
      </c>
    </row>
    <row r="3" spans="1:9">
      <c r="A3" s="6">
        <v>42692</v>
      </c>
      <c r="B3" s="6">
        <v>42692</v>
      </c>
      <c r="C3" s="8">
        <v>50000000</v>
      </c>
      <c r="D3" s="8"/>
      <c r="E3" s="8"/>
      <c r="F3" s="8"/>
      <c r="G3" s="8"/>
      <c r="H3" s="8">
        <v>5000000</v>
      </c>
      <c r="I3" s="8"/>
    </row>
    <row r="4" spans="1:9">
      <c r="A4" s="6"/>
      <c r="B4" s="6">
        <v>42698</v>
      </c>
      <c r="C4" s="8"/>
      <c r="D4" s="8"/>
      <c r="E4" s="8"/>
      <c r="F4" s="8"/>
      <c r="G4" s="8">
        <v>2800000</v>
      </c>
      <c r="H4" s="8"/>
      <c r="I4" s="8"/>
    </row>
    <row r="5" spans="1:9">
      <c r="A5" s="6"/>
      <c r="B5" s="13">
        <v>42724</v>
      </c>
      <c r="C5" s="8"/>
      <c r="D5" s="8"/>
      <c r="E5" s="8">
        <v>350000</v>
      </c>
      <c r="F5" s="8"/>
      <c r="G5" s="8"/>
      <c r="H5" s="8"/>
      <c r="I5" s="8"/>
    </row>
    <row r="6" spans="1:9">
      <c r="A6" s="6"/>
      <c r="B6" s="6">
        <v>42751</v>
      </c>
      <c r="C6" s="8"/>
      <c r="D6" s="8"/>
      <c r="E6" s="8">
        <v>350000</v>
      </c>
      <c r="F6" s="8"/>
      <c r="G6" s="8"/>
      <c r="H6" s="8"/>
      <c r="I6" s="8"/>
    </row>
    <row r="7" spans="1:9">
      <c r="A7" s="6"/>
      <c r="B7" s="6">
        <v>42782</v>
      </c>
      <c r="C7" s="8"/>
      <c r="D7" s="8"/>
      <c r="E7" s="8">
        <v>350000</v>
      </c>
      <c r="F7" s="8"/>
      <c r="G7" s="8"/>
      <c r="H7" s="8"/>
      <c r="I7" s="8"/>
    </row>
    <row r="8" spans="1:9">
      <c r="A8" s="6"/>
      <c r="B8" s="6">
        <v>42811</v>
      </c>
      <c r="C8" s="8"/>
      <c r="D8" s="8"/>
      <c r="E8" s="8">
        <v>350000</v>
      </c>
      <c r="F8" s="8"/>
      <c r="G8" s="8"/>
      <c r="H8" s="8"/>
      <c r="I8" s="8"/>
    </row>
    <row r="9" spans="1:9">
      <c r="A9" s="6"/>
      <c r="B9" s="6">
        <v>42842</v>
      </c>
      <c r="C9" s="8"/>
      <c r="D9" s="8"/>
      <c r="E9" s="8">
        <v>350000</v>
      </c>
      <c r="F9" s="8"/>
      <c r="G9" s="8"/>
      <c r="H9" s="8"/>
      <c r="I9" s="8"/>
    </row>
    <row r="10" spans="1:9">
      <c r="A10" s="6"/>
      <c r="B10" s="6">
        <v>42874</v>
      </c>
      <c r="C10" s="8"/>
      <c r="D10" s="8"/>
      <c r="E10" s="8">
        <v>350000</v>
      </c>
      <c r="F10" s="10"/>
      <c r="G10" s="10"/>
      <c r="H10" s="10"/>
      <c r="I10" s="8"/>
    </row>
    <row r="11" spans="1:9">
      <c r="A11" s="6"/>
      <c r="B11" s="6">
        <v>42905</v>
      </c>
      <c r="C11" s="8"/>
      <c r="D11" s="8"/>
      <c r="E11" s="8">
        <v>350000</v>
      </c>
      <c r="F11" s="10"/>
      <c r="G11" s="10"/>
      <c r="H11" s="10"/>
      <c r="I11" s="8"/>
    </row>
    <row r="12" spans="1:9">
      <c r="A12" s="6"/>
      <c r="B12" s="6">
        <v>42935</v>
      </c>
      <c r="C12" s="8"/>
      <c r="D12" s="8"/>
      <c r="E12" s="8">
        <v>350000</v>
      </c>
      <c r="F12" s="10"/>
      <c r="G12" s="10"/>
      <c r="H12" s="10"/>
      <c r="I12" s="8"/>
    </row>
    <row r="13" spans="1:9">
      <c r="A13" s="6"/>
      <c r="B13" s="6">
        <v>42965</v>
      </c>
      <c r="C13" s="10"/>
      <c r="D13" s="10"/>
      <c r="E13" s="8">
        <v>350000</v>
      </c>
      <c r="F13" s="10"/>
      <c r="G13" s="10"/>
      <c r="H13" s="10"/>
      <c r="I13" s="8"/>
    </row>
    <row r="14" spans="1:9">
      <c r="A14" s="6"/>
      <c r="B14" s="6">
        <v>42998</v>
      </c>
      <c r="C14" s="10"/>
      <c r="D14" s="10"/>
      <c r="E14" s="8">
        <v>350000</v>
      </c>
      <c r="F14" s="10"/>
      <c r="G14" s="10"/>
      <c r="H14" s="10"/>
      <c r="I14" s="8"/>
    </row>
    <row r="15" spans="1:9">
      <c r="A15" s="17"/>
      <c r="B15" s="17">
        <v>43027</v>
      </c>
      <c r="C15" s="10"/>
      <c r="D15" s="10"/>
      <c r="E15" s="8">
        <v>350000</v>
      </c>
      <c r="F15" s="10"/>
      <c r="G15" s="10"/>
      <c r="H15" s="10"/>
      <c r="I15" s="8"/>
    </row>
    <row r="16" spans="1:9">
      <c r="A16" s="6"/>
      <c r="B16" s="6"/>
      <c r="C16" s="8"/>
      <c r="D16" s="8"/>
      <c r="E16" s="8"/>
      <c r="F16" s="8"/>
      <c r="G16" s="8"/>
      <c r="H16" s="8"/>
      <c r="I16" s="8"/>
    </row>
    <row r="17" spans="1:9">
      <c r="A17" s="6"/>
      <c r="B17" s="6"/>
      <c r="C17" s="8"/>
      <c r="D17" s="8"/>
      <c r="E17" s="8"/>
      <c r="F17" s="8"/>
      <c r="G17" s="8"/>
      <c r="H17" s="8"/>
      <c r="I17" s="8"/>
    </row>
    <row r="18" spans="1:9">
      <c r="A18" s="6"/>
      <c r="B18" s="6"/>
      <c r="C18" s="8"/>
      <c r="D18" s="8"/>
      <c r="E18" s="8"/>
      <c r="F18" s="8"/>
      <c r="G18" s="8"/>
      <c r="H18" s="8"/>
      <c r="I18" s="8"/>
    </row>
    <row r="19" spans="1:9">
      <c r="A19" s="6"/>
      <c r="B19" s="6"/>
      <c r="C19" s="8"/>
      <c r="D19" s="8"/>
      <c r="E19" s="8"/>
      <c r="F19" s="8"/>
      <c r="G19" s="8"/>
      <c r="H19" s="8"/>
      <c r="I19" s="8"/>
    </row>
    <row r="21" spans="1:9">
      <c r="A21" t="s">
        <v>558</v>
      </c>
      <c r="C21" s="11">
        <f>SUM(C3:C20)</f>
        <v>50000000</v>
      </c>
      <c r="D21" s="11">
        <f>SUM(D3:D19)</f>
        <v>0</v>
      </c>
      <c r="E21" s="11">
        <f>SUM(E3:E20)</f>
        <v>3850000</v>
      </c>
      <c r="F21" s="11">
        <f>SUM(F3:F20)</f>
        <v>0</v>
      </c>
      <c r="G21" s="11">
        <f>SUM(G3:G20)</f>
        <v>2800000</v>
      </c>
      <c r="H21" s="11">
        <f>SUM(H3:H20)</f>
        <v>5000000</v>
      </c>
      <c r="I21" s="11">
        <f>SUM(I3:I19)</f>
        <v>0</v>
      </c>
    </row>
  </sheetData>
  <mergeCells count="1">
    <mergeCell ref="A1:G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A1:K19"/>
  <sheetViews>
    <sheetView workbookViewId="0">
      <selection activeCell="J1" sqref="J1"/>
    </sheetView>
  </sheetViews>
  <sheetFormatPr defaultColWidth="9" defaultRowHeight="13.5"/>
  <cols>
    <col min="1" max="2" width="10.5" customWidth="1"/>
    <col min="3" max="4" width="17.25" customWidth="1"/>
    <col min="5" max="6" width="16.125" customWidth="1"/>
    <col min="7" max="7" width="11.875" customWidth="1"/>
    <col min="8" max="8" width="16.125" customWidth="1"/>
    <col min="11" max="11" width="11" customWidth="1"/>
  </cols>
  <sheetData>
    <row r="1" ht="18.75" spans="1:11">
      <c r="A1" s="1" t="s">
        <v>625</v>
      </c>
      <c r="B1" s="1"/>
      <c r="C1" s="1"/>
      <c r="D1" s="1"/>
      <c r="E1" s="1"/>
      <c r="F1" s="1"/>
      <c r="G1" s="1"/>
      <c r="H1" s="2"/>
      <c r="J1" s="12" t="s">
        <v>544</v>
      </c>
      <c r="K1" s="12" t="s">
        <v>545</v>
      </c>
    </row>
    <row r="2" spans="1:9">
      <c r="A2" s="3" t="s">
        <v>2</v>
      </c>
      <c r="B2" s="3" t="s">
        <v>557</v>
      </c>
      <c r="C2" s="3" t="s">
        <v>6</v>
      </c>
      <c r="D2" s="3" t="s">
        <v>513</v>
      </c>
      <c r="E2" s="3" t="s">
        <v>515</v>
      </c>
      <c r="F2" s="3" t="s">
        <v>517</v>
      </c>
      <c r="G2" s="3" t="s">
        <v>519</v>
      </c>
      <c r="H2" s="4" t="s">
        <v>521</v>
      </c>
      <c r="I2" s="4" t="s">
        <v>522</v>
      </c>
    </row>
    <row r="3" spans="1:9">
      <c r="A3" s="6">
        <v>42706</v>
      </c>
      <c r="B3" s="13"/>
      <c r="C3" s="8">
        <v>68000000</v>
      </c>
      <c r="D3" s="8"/>
      <c r="E3" s="8"/>
      <c r="F3" s="8"/>
      <c r="G3" s="8"/>
      <c r="H3" s="8"/>
      <c r="I3" s="8"/>
    </row>
    <row r="4" spans="1:9">
      <c r="A4" s="6"/>
      <c r="B4" s="6">
        <v>42706</v>
      </c>
      <c r="C4" s="8"/>
      <c r="D4" s="8"/>
      <c r="E4" s="8"/>
      <c r="F4" s="8">
        <v>2040000</v>
      </c>
      <c r="G4" s="8"/>
      <c r="H4" s="8">
        <v>6800000</v>
      </c>
      <c r="I4" s="8"/>
    </row>
    <row r="5" spans="1:9">
      <c r="A5" s="6"/>
      <c r="B5" s="13">
        <v>42745</v>
      </c>
      <c r="C5" s="8"/>
      <c r="D5" s="8"/>
      <c r="E5" s="8">
        <v>680000</v>
      </c>
      <c r="F5" s="8"/>
      <c r="G5" s="8"/>
      <c r="H5" s="8"/>
      <c r="I5" s="8"/>
    </row>
    <row r="6" spans="1:9">
      <c r="A6" s="6"/>
      <c r="B6" s="6">
        <v>42776</v>
      </c>
      <c r="C6" s="8"/>
      <c r="D6" s="8"/>
      <c r="E6" s="8">
        <v>680000</v>
      </c>
      <c r="F6" s="8"/>
      <c r="G6" s="8"/>
      <c r="H6" s="8"/>
      <c r="I6" s="8"/>
    </row>
    <row r="7" spans="1:9">
      <c r="A7" s="6"/>
      <c r="B7" s="6">
        <v>42804</v>
      </c>
      <c r="C7" s="8"/>
      <c r="D7" s="8"/>
      <c r="E7" s="8">
        <v>680000</v>
      </c>
      <c r="F7" s="8"/>
      <c r="G7" s="8"/>
      <c r="H7" s="8"/>
      <c r="I7" s="8"/>
    </row>
    <row r="8" spans="1:9">
      <c r="A8" s="6"/>
      <c r="B8" s="6">
        <v>42835</v>
      </c>
      <c r="C8" s="8"/>
      <c r="D8" s="8"/>
      <c r="E8" s="8">
        <v>680000</v>
      </c>
      <c r="F8" s="8"/>
      <c r="G8" s="8"/>
      <c r="H8" s="8"/>
      <c r="I8" s="8"/>
    </row>
    <row r="9" spans="1:9">
      <c r="A9" s="6"/>
      <c r="B9" s="6">
        <v>42865</v>
      </c>
      <c r="C9" s="8"/>
      <c r="D9" s="8"/>
      <c r="E9" s="8">
        <v>680000</v>
      </c>
      <c r="F9" s="8"/>
      <c r="G9" s="8"/>
      <c r="H9" s="8"/>
      <c r="I9" s="8"/>
    </row>
    <row r="10" spans="1:9">
      <c r="A10" s="6"/>
      <c r="B10" s="6">
        <v>42898</v>
      </c>
      <c r="C10" s="8"/>
      <c r="D10" s="8"/>
      <c r="E10" s="8">
        <v>680000</v>
      </c>
      <c r="F10" s="8"/>
      <c r="G10" s="8"/>
      <c r="H10" s="8"/>
      <c r="I10" s="8"/>
    </row>
    <row r="11" spans="1:9">
      <c r="A11" s="6"/>
      <c r="B11" s="6">
        <v>42927</v>
      </c>
      <c r="C11" s="8"/>
      <c r="D11" s="8"/>
      <c r="E11" s="8">
        <v>680000</v>
      </c>
      <c r="F11" s="8"/>
      <c r="G11" s="8"/>
      <c r="H11" s="8"/>
      <c r="I11" s="8"/>
    </row>
    <row r="12" spans="1:9">
      <c r="A12" s="6"/>
      <c r="B12" s="6">
        <v>42957</v>
      </c>
      <c r="C12" s="8"/>
      <c r="D12" s="8"/>
      <c r="E12" s="8">
        <v>680000</v>
      </c>
      <c r="F12" s="8"/>
      <c r="G12" s="8"/>
      <c r="H12" s="8"/>
      <c r="I12" s="8"/>
    </row>
    <row r="13" spans="1:9">
      <c r="A13" s="6"/>
      <c r="B13" s="6">
        <v>42984</v>
      </c>
      <c r="C13" s="8"/>
      <c r="D13" s="8"/>
      <c r="E13" s="8">
        <v>680000</v>
      </c>
      <c r="F13" s="8"/>
      <c r="G13" s="8"/>
      <c r="H13" s="8"/>
      <c r="I13" s="8"/>
    </row>
    <row r="14" spans="1:9">
      <c r="A14" s="6"/>
      <c r="B14" s="6"/>
      <c r="C14" s="8"/>
      <c r="D14" s="8"/>
      <c r="E14" s="8"/>
      <c r="F14" s="8"/>
      <c r="G14" s="8"/>
      <c r="H14" s="8"/>
      <c r="I14" s="8"/>
    </row>
    <row r="15" spans="1:9">
      <c r="A15" s="6"/>
      <c r="B15" s="6"/>
      <c r="C15" s="8"/>
      <c r="D15" s="8"/>
      <c r="E15" s="8"/>
      <c r="F15" s="8"/>
      <c r="G15" s="8"/>
      <c r="H15" s="8"/>
      <c r="I15" s="8"/>
    </row>
    <row r="16" spans="1:9">
      <c r="A16" s="8"/>
      <c r="B16" s="8"/>
      <c r="C16" s="8"/>
      <c r="D16" s="8"/>
      <c r="E16" s="8"/>
      <c r="F16" s="8"/>
      <c r="G16" s="8"/>
      <c r="H16" s="8"/>
      <c r="I16" s="8"/>
    </row>
    <row r="17" spans="1:9">
      <c r="A17" s="8"/>
      <c r="B17" s="8"/>
      <c r="C17" s="8"/>
      <c r="D17" s="8"/>
      <c r="E17" s="8"/>
      <c r="F17" s="8"/>
      <c r="G17" s="8"/>
      <c r="H17" s="8"/>
      <c r="I17" s="8"/>
    </row>
    <row r="18" spans="1:9">
      <c r="A18" s="8"/>
      <c r="B18" s="8"/>
      <c r="C18" s="8"/>
      <c r="D18" s="8"/>
      <c r="E18" s="8"/>
      <c r="F18" s="8"/>
      <c r="G18" s="8"/>
      <c r="H18" s="8"/>
      <c r="I18" s="8"/>
    </row>
    <row r="19" spans="1:9">
      <c r="A19" t="s">
        <v>558</v>
      </c>
      <c r="C19" s="11">
        <f t="shared" ref="C19:I19" si="0">SUM(C3:C18)</f>
        <v>68000000</v>
      </c>
      <c r="D19" s="11">
        <f t="shared" si="0"/>
        <v>0</v>
      </c>
      <c r="E19" s="11">
        <f t="shared" si="0"/>
        <v>6120000</v>
      </c>
      <c r="F19" s="11">
        <f t="shared" si="0"/>
        <v>2040000</v>
      </c>
      <c r="G19" s="11">
        <f t="shared" si="0"/>
        <v>0</v>
      </c>
      <c r="H19" s="11">
        <f t="shared" si="0"/>
        <v>6800000</v>
      </c>
      <c r="I19" s="11">
        <f t="shared" si="0"/>
        <v>0</v>
      </c>
    </row>
  </sheetData>
  <mergeCells count="1">
    <mergeCell ref="A1:G1"/>
  </mergeCells>
  <hyperlinks>
    <hyperlink ref="K1" location="收付款总表!A1" display="收付款总表"/>
    <hyperlink ref="J1" location="总表!A1" display="总表"/>
  </hyperlinks>
  <pageMargins left="0.699305555555556" right="0.699305555555556" top="0.75" bottom="0.75" header="0.3" footer="0.3"/>
  <pageSetup paperSize="9" orientation="portrait"/>
  <headerFooter/>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A1:K18"/>
  <sheetViews>
    <sheetView workbookViewId="0">
      <selection activeCell="J1" sqref="J1"/>
    </sheetView>
  </sheetViews>
  <sheetFormatPr defaultColWidth="9" defaultRowHeight="13.5"/>
  <cols>
    <col min="1" max="1" width="10.5" customWidth="1"/>
    <col min="2" max="2" width="11.625" customWidth="1"/>
    <col min="3" max="4" width="17.25" customWidth="1"/>
    <col min="5" max="6" width="16.125" customWidth="1"/>
    <col min="7" max="8" width="11.875" customWidth="1"/>
    <col min="9" max="9" width="13.875" customWidth="1"/>
    <col min="11" max="11" width="11" customWidth="1"/>
  </cols>
  <sheetData>
    <row r="1" ht="18.75" spans="1:11">
      <c r="A1" s="1" t="s">
        <v>626</v>
      </c>
      <c r="B1" s="1"/>
      <c r="C1" s="1"/>
      <c r="D1" s="1"/>
      <c r="E1" s="1"/>
      <c r="F1" s="1"/>
      <c r="G1" s="1"/>
      <c r="H1" s="2"/>
      <c r="J1" s="12" t="s">
        <v>544</v>
      </c>
      <c r="K1" s="12" t="s">
        <v>545</v>
      </c>
    </row>
    <row r="2" spans="1:9">
      <c r="A2" s="3" t="s">
        <v>2</v>
      </c>
      <c r="B2" s="3" t="s">
        <v>557</v>
      </c>
      <c r="C2" s="3" t="s">
        <v>6</v>
      </c>
      <c r="D2" s="3" t="s">
        <v>513</v>
      </c>
      <c r="E2" s="3" t="s">
        <v>515</v>
      </c>
      <c r="F2" s="3" t="s">
        <v>517</v>
      </c>
      <c r="G2" s="3" t="s">
        <v>519</v>
      </c>
      <c r="H2" s="4" t="s">
        <v>521</v>
      </c>
      <c r="I2" s="4" t="s">
        <v>522</v>
      </c>
    </row>
    <row r="3" spans="1:9">
      <c r="A3" s="15">
        <v>42713</v>
      </c>
      <c r="B3" s="15">
        <v>42713</v>
      </c>
      <c r="C3" s="16">
        <v>50000000</v>
      </c>
      <c r="D3" s="16"/>
      <c r="E3" s="16"/>
      <c r="F3" s="16">
        <v>1500000</v>
      </c>
      <c r="G3" s="16">
        <v>0</v>
      </c>
      <c r="H3" s="16">
        <v>0</v>
      </c>
      <c r="I3" s="16"/>
    </row>
    <row r="4" spans="1:9">
      <c r="A4" s="15"/>
      <c r="B4" s="5">
        <v>42746</v>
      </c>
      <c r="C4" s="16"/>
      <c r="D4" s="16"/>
      <c r="E4" s="16">
        <v>500000</v>
      </c>
      <c r="F4" s="16"/>
      <c r="G4" s="16"/>
      <c r="H4" s="16"/>
      <c r="I4" s="16"/>
    </row>
    <row r="5" spans="1:9">
      <c r="A5" s="15"/>
      <c r="B5" s="15">
        <v>42776</v>
      </c>
      <c r="C5" s="16"/>
      <c r="D5" s="16"/>
      <c r="E5" s="16">
        <v>500000</v>
      </c>
      <c r="F5" s="16"/>
      <c r="G5" s="16"/>
      <c r="H5" s="16"/>
      <c r="I5" s="16"/>
    </row>
    <row r="6" spans="1:9">
      <c r="A6" s="15"/>
      <c r="B6" s="15">
        <v>42803</v>
      </c>
      <c r="C6" s="16"/>
      <c r="D6" s="16"/>
      <c r="E6" s="16">
        <v>500000</v>
      </c>
      <c r="F6" s="16"/>
      <c r="G6" s="16"/>
      <c r="H6" s="16"/>
      <c r="I6" s="16"/>
    </row>
    <row r="7" spans="1:9">
      <c r="A7" s="15"/>
      <c r="B7" s="15">
        <v>42807</v>
      </c>
      <c r="C7" s="16"/>
      <c r="D7" s="16"/>
      <c r="E7" s="16"/>
      <c r="F7" s="16">
        <v>1500000</v>
      </c>
      <c r="G7" s="16"/>
      <c r="H7" s="16"/>
      <c r="I7" s="16"/>
    </row>
    <row r="8" spans="1:9">
      <c r="A8" s="15"/>
      <c r="B8" s="15">
        <v>42835</v>
      </c>
      <c r="C8" s="16"/>
      <c r="D8" s="16"/>
      <c r="E8" s="16">
        <v>500000</v>
      </c>
      <c r="F8" s="16"/>
      <c r="G8" s="16"/>
      <c r="H8" s="16"/>
      <c r="I8" s="16"/>
    </row>
    <row r="9" spans="1:9">
      <c r="A9" s="15"/>
      <c r="B9" s="15">
        <v>42887</v>
      </c>
      <c r="C9" s="16"/>
      <c r="D9" s="16"/>
      <c r="E9" s="16">
        <v>500000</v>
      </c>
      <c r="F9" s="16"/>
      <c r="G9" s="16"/>
      <c r="H9" s="16"/>
      <c r="I9" s="16"/>
    </row>
    <row r="10" spans="1:9">
      <c r="A10" s="15"/>
      <c r="B10" s="15">
        <v>42943</v>
      </c>
      <c r="C10" s="16"/>
      <c r="D10" s="16"/>
      <c r="E10" s="16">
        <v>1000000</v>
      </c>
      <c r="F10" s="16"/>
      <c r="G10" s="16"/>
      <c r="H10" s="16"/>
      <c r="I10" s="16"/>
    </row>
    <row r="11" spans="1:9">
      <c r="A11" s="15"/>
      <c r="B11" s="15">
        <v>42947</v>
      </c>
      <c r="C11" s="16"/>
      <c r="D11" s="16"/>
      <c r="E11" s="16"/>
      <c r="F11" s="16">
        <v>1500000</v>
      </c>
      <c r="G11" s="16"/>
      <c r="H11" s="16"/>
      <c r="I11" s="16"/>
    </row>
    <row r="12" spans="1:9">
      <c r="A12" s="15"/>
      <c r="B12" s="15">
        <v>43054</v>
      </c>
      <c r="C12" s="16"/>
      <c r="D12" s="16"/>
      <c r="E12" s="16">
        <v>1000000</v>
      </c>
      <c r="F12" s="16"/>
      <c r="G12" s="16"/>
      <c r="H12" s="16"/>
      <c r="I12" s="16"/>
    </row>
    <row r="13" spans="1:10">
      <c r="A13" s="15"/>
      <c r="B13" s="15">
        <v>43054</v>
      </c>
      <c r="C13" s="16"/>
      <c r="D13" s="16"/>
      <c r="E13" s="16">
        <v>600000</v>
      </c>
      <c r="F13" s="16"/>
      <c r="G13" s="16"/>
      <c r="H13" s="16"/>
      <c r="I13" s="16"/>
      <c r="J13" t="s">
        <v>627</v>
      </c>
    </row>
    <row r="14" spans="1:10">
      <c r="A14" s="15"/>
      <c r="B14" s="15">
        <v>43103</v>
      </c>
      <c r="C14" s="16"/>
      <c r="D14" s="16"/>
      <c r="E14" s="16">
        <v>900000</v>
      </c>
      <c r="F14" s="16"/>
      <c r="G14" s="16"/>
      <c r="H14" s="16"/>
      <c r="I14" s="16"/>
      <c r="J14" t="s">
        <v>627</v>
      </c>
    </row>
    <row r="15" spans="1:9">
      <c r="A15" s="15"/>
      <c r="B15" s="15"/>
      <c r="C15" s="16"/>
      <c r="D15" s="16"/>
      <c r="E15" s="16"/>
      <c r="F15" s="16"/>
      <c r="G15" s="16"/>
      <c r="H15" s="16"/>
      <c r="I15" s="16"/>
    </row>
    <row r="16" spans="1:9">
      <c r="A16" s="15"/>
      <c r="B16" s="15"/>
      <c r="C16" s="16"/>
      <c r="D16" s="16"/>
      <c r="E16" s="16"/>
      <c r="F16" s="16"/>
      <c r="G16" s="16"/>
      <c r="H16" s="16"/>
      <c r="I16" s="16"/>
    </row>
    <row r="17" spans="1:9">
      <c r="A17" s="15"/>
      <c r="B17" s="15"/>
      <c r="C17" s="16"/>
      <c r="D17" s="16"/>
      <c r="E17" s="16"/>
      <c r="F17" s="16"/>
      <c r="G17" s="16"/>
      <c r="H17" s="16"/>
      <c r="I17" s="16"/>
    </row>
    <row r="18" spans="1:9">
      <c r="A18" t="s">
        <v>558</v>
      </c>
      <c r="C18" s="11">
        <f t="shared" ref="C18:I18" si="0">SUM(C3:C17)</f>
        <v>50000000</v>
      </c>
      <c r="D18" s="11">
        <f t="shared" si="0"/>
        <v>0</v>
      </c>
      <c r="E18" s="11">
        <f t="shared" si="0"/>
        <v>6000000</v>
      </c>
      <c r="F18" s="11">
        <f t="shared" si="0"/>
        <v>4500000</v>
      </c>
      <c r="G18" s="11">
        <f t="shared" si="0"/>
        <v>0</v>
      </c>
      <c r="H18" s="11">
        <f t="shared" si="0"/>
        <v>0</v>
      </c>
      <c r="I18" s="11">
        <f t="shared" si="0"/>
        <v>0</v>
      </c>
    </row>
  </sheetData>
  <mergeCells count="1">
    <mergeCell ref="A1:G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K19"/>
  <sheetViews>
    <sheetView workbookViewId="0">
      <selection activeCell="J1" sqref="J1"/>
    </sheetView>
  </sheetViews>
  <sheetFormatPr defaultColWidth="9" defaultRowHeight="13.5"/>
  <cols>
    <col min="1" max="1" width="10.5" customWidth="1"/>
    <col min="2" max="2" width="11.625" customWidth="1"/>
    <col min="3" max="4" width="17.25" customWidth="1"/>
    <col min="5" max="6" width="16.125" customWidth="1"/>
    <col min="7" max="7" width="11.875" customWidth="1"/>
    <col min="8" max="8" width="16.125" customWidth="1"/>
    <col min="11" max="11" width="11" customWidth="1"/>
  </cols>
  <sheetData>
    <row r="1" ht="18.75" spans="1:11">
      <c r="A1" s="1" t="s">
        <v>628</v>
      </c>
      <c r="B1" s="1"/>
      <c r="C1" s="1"/>
      <c r="D1" s="1"/>
      <c r="E1" s="1"/>
      <c r="F1" s="1"/>
      <c r="G1" s="1"/>
      <c r="H1" s="2"/>
      <c r="J1" s="12" t="s">
        <v>544</v>
      </c>
      <c r="K1" s="12" t="s">
        <v>545</v>
      </c>
    </row>
    <row r="2" spans="1:9">
      <c r="A2" s="3" t="s">
        <v>2</v>
      </c>
      <c r="B2" s="3" t="s">
        <v>557</v>
      </c>
      <c r="C2" s="3" t="s">
        <v>6</v>
      </c>
      <c r="D2" s="3" t="s">
        <v>513</v>
      </c>
      <c r="E2" s="3" t="s">
        <v>515</v>
      </c>
      <c r="F2" s="3" t="s">
        <v>517</v>
      </c>
      <c r="G2" s="3" t="s">
        <v>519</v>
      </c>
      <c r="H2" s="4" t="s">
        <v>521</v>
      </c>
      <c r="I2" s="4" t="s">
        <v>522</v>
      </c>
    </row>
    <row r="3" spans="1:9">
      <c r="A3" s="6">
        <v>42705</v>
      </c>
      <c r="B3" s="13"/>
      <c r="C3" s="8">
        <v>50000000</v>
      </c>
      <c r="D3" s="8"/>
      <c r="E3" s="8"/>
      <c r="F3" s="8"/>
      <c r="G3" s="8"/>
      <c r="H3" s="8"/>
      <c r="I3" s="8"/>
    </row>
    <row r="4" spans="1:9">
      <c r="A4" s="6"/>
      <c r="B4" s="6">
        <v>42705</v>
      </c>
      <c r="C4" s="8"/>
      <c r="D4" s="8"/>
      <c r="E4" s="8"/>
      <c r="F4" s="8">
        <v>2500000</v>
      </c>
      <c r="G4" s="8"/>
      <c r="H4" s="8">
        <v>5000000</v>
      </c>
      <c r="I4" s="8"/>
    </row>
    <row r="5" spans="1:9">
      <c r="A5" s="6"/>
      <c r="B5" s="13">
        <v>42745</v>
      </c>
      <c r="C5" s="8"/>
      <c r="D5" s="8"/>
      <c r="E5" s="8">
        <v>375000</v>
      </c>
      <c r="F5" s="8"/>
      <c r="G5" s="8"/>
      <c r="H5" s="8"/>
      <c r="I5" s="8"/>
    </row>
    <row r="6" spans="1:9">
      <c r="A6" s="6"/>
      <c r="B6" s="6">
        <v>42783</v>
      </c>
      <c r="C6" s="8"/>
      <c r="D6" s="8"/>
      <c r="E6" s="8">
        <v>375000</v>
      </c>
      <c r="F6" s="8"/>
      <c r="G6" s="8"/>
      <c r="H6" s="8"/>
      <c r="I6" s="8"/>
    </row>
    <row r="7" spans="1:9">
      <c r="A7" s="6"/>
      <c r="B7" s="6">
        <v>42804</v>
      </c>
      <c r="C7" s="8"/>
      <c r="D7" s="8"/>
      <c r="E7" s="8">
        <v>375000</v>
      </c>
      <c r="F7" s="8"/>
      <c r="G7" s="8"/>
      <c r="H7" s="8"/>
      <c r="I7" s="8"/>
    </row>
    <row r="8" spans="1:9">
      <c r="A8" s="6"/>
      <c r="B8" s="6">
        <v>42836</v>
      </c>
      <c r="C8" s="8"/>
      <c r="D8" s="8"/>
      <c r="E8" s="8">
        <v>375000</v>
      </c>
      <c r="F8" s="8"/>
      <c r="G8" s="8"/>
      <c r="H8" s="8"/>
      <c r="I8" s="8"/>
    </row>
    <row r="9" spans="1:9">
      <c r="A9" s="6"/>
      <c r="B9" s="6">
        <v>42865</v>
      </c>
      <c r="C9" s="8"/>
      <c r="D9" s="8"/>
      <c r="E9" s="8">
        <v>375000</v>
      </c>
      <c r="F9" s="8"/>
      <c r="G9" s="8"/>
      <c r="H9" s="8"/>
      <c r="I9" s="8"/>
    </row>
    <row r="10" spans="1:9">
      <c r="A10" s="6"/>
      <c r="B10" s="6">
        <v>42888</v>
      </c>
      <c r="C10" s="8"/>
      <c r="D10" s="8"/>
      <c r="E10" s="8">
        <v>250000</v>
      </c>
      <c r="F10" s="8"/>
      <c r="G10" s="8"/>
      <c r="H10" s="8"/>
      <c r="I10" s="8"/>
    </row>
    <row r="11" spans="1:9">
      <c r="A11" s="6"/>
      <c r="B11" s="6">
        <v>42898</v>
      </c>
      <c r="C11" s="8"/>
      <c r="D11" s="8"/>
      <c r="E11" s="8">
        <v>125000</v>
      </c>
      <c r="F11" s="8"/>
      <c r="G11" s="8"/>
      <c r="H11" s="8"/>
      <c r="I11" s="8"/>
    </row>
    <row r="12" spans="1:9">
      <c r="A12" s="6"/>
      <c r="B12" s="6">
        <v>42926</v>
      </c>
      <c r="C12" s="8"/>
      <c r="D12" s="8"/>
      <c r="E12" s="8">
        <v>375000</v>
      </c>
      <c r="F12" s="8"/>
      <c r="G12" s="8"/>
      <c r="H12" s="8"/>
      <c r="I12" s="8"/>
    </row>
    <row r="13" spans="1:9">
      <c r="A13" s="6"/>
      <c r="B13" s="6">
        <v>42957</v>
      </c>
      <c r="C13" s="8"/>
      <c r="D13" s="8"/>
      <c r="E13" s="8">
        <v>375000</v>
      </c>
      <c r="F13" s="8"/>
      <c r="G13" s="8"/>
      <c r="H13" s="8"/>
      <c r="I13" s="8"/>
    </row>
    <row r="14" spans="1:9">
      <c r="A14" s="6"/>
      <c r="B14" s="6">
        <v>42993</v>
      </c>
      <c r="C14" s="8"/>
      <c r="D14" s="8"/>
      <c r="E14" s="8">
        <v>375000</v>
      </c>
      <c r="F14" s="8"/>
      <c r="G14" s="8"/>
      <c r="H14" s="8"/>
      <c r="I14" s="8"/>
    </row>
    <row r="15" spans="1:9">
      <c r="A15" s="6"/>
      <c r="B15" s="6">
        <v>43018</v>
      </c>
      <c r="C15" s="8"/>
      <c r="D15" s="8"/>
      <c r="E15" s="8">
        <v>375000</v>
      </c>
      <c r="F15" s="8"/>
      <c r="G15" s="8"/>
      <c r="H15" s="8"/>
      <c r="I15" s="8"/>
    </row>
    <row r="16" spans="1:9">
      <c r="A16" s="6"/>
      <c r="B16" s="6">
        <v>43049</v>
      </c>
      <c r="C16" s="6"/>
      <c r="D16" s="6"/>
      <c r="E16" s="14">
        <v>375000</v>
      </c>
      <c r="F16" s="6"/>
      <c r="G16" s="6"/>
      <c r="H16" s="6"/>
      <c r="I16" s="8"/>
    </row>
    <row r="17" spans="1:9">
      <c r="A17" s="6"/>
      <c r="B17" s="6"/>
      <c r="C17" s="6"/>
      <c r="D17" s="6"/>
      <c r="E17" s="6"/>
      <c r="F17" s="6"/>
      <c r="G17" s="6"/>
      <c r="H17" s="6"/>
      <c r="I17" s="8"/>
    </row>
    <row r="18" spans="1:9">
      <c r="A18" s="6"/>
      <c r="B18" s="6"/>
      <c r="C18" s="6"/>
      <c r="D18" s="6"/>
      <c r="E18" s="6"/>
      <c r="F18" s="6"/>
      <c r="G18" s="6"/>
      <c r="H18" s="6"/>
      <c r="I18" s="8"/>
    </row>
    <row r="19" spans="1:9">
      <c r="A19" t="s">
        <v>558</v>
      </c>
      <c r="C19" s="11">
        <f t="shared" ref="C19:I19" si="0">SUM(C3:C18)</f>
        <v>50000000</v>
      </c>
      <c r="D19" s="11">
        <f t="shared" si="0"/>
        <v>0</v>
      </c>
      <c r="E19" s="11">
        <f t="shared" si="0"/>
        <v>4125000</v>
      </c>
      <c r="F19" s="11">
        <f t="shared" si="0"/>
        <v>2500000</v>
      </c>
      <c r="G19" s="11">
        <f t="shared" si="0"/>
        <v>0</v>
      </c>
      <c r="H19" s="11">
        <f t="shared" si="0"/>
        <v>5000000</v>
      </c>
      <c r="I19" s="11">
        <f t="shared" si="0"/>
        <v>0</v>
      </c>
    </row>
  </sheetData>
  <mergeCells count="1">
    <mergeCell ref="A1:G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A1:K12"/>
  <sheetViews>
    <sheetView workbookViewId="0">
      <selection activeCell="K1" sqref="K1"/>
    </sheetView>
  </sheetViews>
  <sheetFormatPr defaultColWidth="9" defaultRowHeight="13.5"/>
  <cols>
    <col min="1" max="1" width="10.5" customWidth="1"/>
    <col min="2" max="2" width="11.625" customWidth="1"/>
    <col min="3" max="3" width="17.25" customWidth="1"/>
    <col min="4" max="4" width="10" customWidth="1"/>
    <col min="5" max="5" width="18.375" customWidth="1"/>
    <col min="6" max="6" width="16.125" customWidth="1"/>
    <col min="7" max="7" width="7.875" customWidth="1"/>
    <col min="8" max="8" width="16.125" customWidth="1"/>
    <col min="9" max="9" width="10" customWidth="1"/>
    <col min="10" max="10" width="5.5" customWidth="1"/>
    <col min="11" max="11" width="11.625" customWidth="1"/>
  </cols>
  <sheetData>
    <row r="1" ht="18.75" spans="1:11">
      <c r="A1" s="1" t="s">
        <v>629</v>
      </c>
      <c r="B1" s="1"/>
      <c r="C1" s="1"/>
      <c r="D1" s="1"/>
      <c r="E1" s="1"/>
      <c r="F1" s="1"/>
      <c r="G1" s="1"/>
      <c r="H1" s="2"/>
      <c r="J1" s="12" t="s">
        <v>544</v>
      </c>
      <c r="K1" s="12" t="s">
        <v>545</v>
      </c>
    </row>
    <row r="2" spans="1:9">
      <c r="A2" s="3" t="s">
        <v>2</v>
      </c>
      <c r="B2" s="3" t="s">
        <v>546</v>
      </c>
      <c r="C2" s="3" t="s">
        <v>6</v>
      </c>
      <c r="D2" s="3" t="s">
        <v>513</v>
      </c>
      <c r="E2" s="3" t="s">
        <v>515</v>
      </c>
      <c r="F2" s="3" t="s">
        <v>547</v>
      </c>
      <c r="G2" s="3" t="s">
        <v>548</v>
      </c>
      <c r="H2" s="4" t="s">
        <v>549</v>
      </c>
      <c r="I2" s="4" t="s">
        <v>522</v>
      </c>
    </row>
    <row r="3" spans="1:9">
      <c r="A3" s="13">
        <v>42905</v>
      </c>
      <c r="B3" s="13"/>
      <c r="C3" s="9">
        <v>30000000</v>
      </c>
      <c r="D3" s="9"/>
      <c r="E3" s="9"/>
      <c r="F3" s="9"/>
      <c r="G3" s="9"/>
      <c r="H3" s="9"/>
      <c r="I3" s="9"/>
    </row>
    <row r="4" spans="1:9">
      <c r="A4" s="13"/>
      <c r="B4" s="13">
        <v>42905</v>
      </c>
      <c r="C4" s="9"/>
      <c r="D4" s="9"/>
      <c r="E4" s="9">
        <v>1350000</v>
      </c>
      <c r="F4" s="9">
        <v>825000</v>
      </c>
      <c r="G4" s="9">
        <v>0</v>
      </c>
      <c r="H4" s="9">
        <v>3000000</v>
      </c>
      <c r="I4" s="9"/>
    </row>
    <row r="5" spans="1:9">
      <c r="A5" s="13">
        <v>42906</v>
      </c>
      <c r="B5" s="13"/>
      <c r="C5" s="9">
        <v>70000000</v>
      </c>
      <c r="D5" s="9"/>
      <c r="E5" s="9"/>
      <c r="F5" s="9"/>
      <c r="G5" s="9"/>
      <c r="H5" s="9"/>
      <c r="I5" s="9"/>
    </row>
    <row r="6" spans="1:9">
      <c r="A6" s="13"/>
      <c r="B6" s="13">
        <v>42906</v>
      </c>
      <c r="C6" s="9"/>
      <c r="D6" s="9"/>
      <c r="E6" s="9">
        <v>3150000</v>
      </c>
      <c r="F6" s="9">
        <v>1925000</v>
      </c>
      <c r="G6" s="9">
        <v>0</v>
      </c>
      <c r="H6" s="9">
        <v>7000000</v>
      </c>
      <c r="I6" s="9"/>
    </row>
    <row r="7" spans="1:9">
      <c r="A7" s="13"/>
      <c r="B7" s="13">
        <v>43081</v>
      </c>
      <c r="C7" s="9"/>
      <c r="D7" s="9"/>
      <c r="E7" s="9">
        <v>4500000</v>
      </c>
      <c r="F7" s="9">
        <v>2750000</v>
      </c>
      <c r="G7" s="9"/>
      <c r="H7" s="9"/>
      <c r="I7" s="9"/>
    </row>
    <row r="8" spans="1:9">
      <c r="A8" s="13"/>
      <c r="B8" s="13"/>
      <c r="C8" s="9"/>
      <c r="D8" s="9"/>
      <c r="E8" s="9"/>
      <c r="F8" s="9"/>
      <c r="G8" s="9"/>
      <c r="H8" s="9"/>
      <c r="I8" s="9"/>
    </row>
    <row r="9" spans="1:9">
      <c r="A9" s="13"/>
      <c r="B9" s="13"/>
      <c r="C9" s="9"/>
      <c r="D9" s="9"/>
      <c r="E9" s="9"/>
      <c r="F9" s="9"/>
      <c r="G9" s="9"/>
      <c r="H9" s="9"/>
      <c r="I9" s="9"/>
    </row>
    <row r="10" spans="1:9">
      <c r="A10" s="13"/>
      <c r="B10" s="13"/>
      <c r="C10" s="9"/>
      <c r="D10" s="9"/>
      <c r="E10" s="9"/>
      <c r="F10" s="9"/>
      <c r="G10" s="9"/>
      <c r="H10" s="9"/>
      <c r="I10" s="9"/>
    </row>
    <row r="12" spans="1:9">
      <c r="A12" t="s">
        <v>12</v>
      </c>
      <c r="C12" s="11">
        <f t="shared" ref="C12:I12" si="0">SUM(C3:C11)</f>
        <v>100000000</v>
      </c>
      <c r="D12" s="11">
        <f t="shared" si="0"/>
        <v>0</v>
      </c>
      <c r="E12" s="11">
        <f t="shared" si="0"/>
        <v>9000000</v>
      </c>
      <c r="F12" s="11">
        <f t="shared" si="0"/>
        <v>5500000</v>
      </c>
      <c r="G12" s="11">
        <f t="shared" si="0"/>
        <v>0</v>
      </c>
      <c r="H12" s="11">
        <f t="shared" si="0"/>
        <v>10000000</v>
      </c>
      <c r="I12" s="11">
        <f t="shared" si="0"/>
        <v>0</v>
      </c>
    </row>
  </sheetData>
  <mergeCells count="1">
    <mergeCell ref="A1:G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21"/>
  <sheetViews>
    <sheetView workbookViewId="0">
      <selection activeCell="J1" sqref="J1"/>
    </sheetView>
  </sheetViews>
  <sheetFormatPr defaultColWidth="9" defaultRowHeight="13.5"/>
  <cols>
    <col min="1" max="2" width="11.625" customWidth="1"/>
    <col min="3" max="4" width="17.25" customWidth="1"/>
    <col min="5" max="5" width="16.125" customWidth="1"/>
    <col min="6" max="6" width="11.875" customWidth="1"/>
    <col min="7" max="7" width="16.125" customWidth="1"/>
    <col min="8" max="8" width="17.25" customWidth="1"/>
    <col min="11" max="11" width="11" customWidth="1"/>
  </cols>
  <sheetData>
    <row r="1" ht="18.75" spans="1:11">
      <c r="A1" s="1" t="s">
        <v>630</v>
      </c>
      <c r="B1" s="1"/>
      <c r="C1" s="1"/>
      <c r="D1" s="1"/>
      <c r="E1" s="1"/>
      <c r="F1" s="1"/>
      <c r="G1" s="1"/>
      <c r="H1" s="2"/>
      <c r="J1" s="12" t="s">
        <v>544</v>
      </c>
      <c r="K1" s="12" t="s">
        <v>545</v>
      </c>
    </row>
    <row r="2" spans="1:9">
      <c r="A2" s="3" t="s">
        <v>2</v>
      </c>
      <c r="B2" s="3" t="s">
        <v>557</v>
      </c>
      <c r="C2" s="3" t="s">
        <v>6</v>
      </c>
      <c r="D2" s="3" t="s">
        <v>624</v>
      </c>
      <c r="E2" s="3" t="s">
        <v>515</v>
      </c>
      <c r="F2" s="3" t="s">
        <v>517</v>
      </c>
      <c r="G2" s="3" t="s">
        <v>519</v>
      </c>
      <c r="H2" s="4" t="s">
        <v>521</v>
      </c>
      <c r="I2" s="4" t="s">
        <v>522</v>
      </c>
    </row>
    <row r="3" spans="1:9">
      <c r="A3" s="5">
        <v>42541</v>
      </c>
      <c r="B3" s="6"/>
      <c r="C3" s="7">
        <v>30000000</v>
      </c>
      <c r="D3" s="8"/>
      <c r="E3" s="8"/>
      <c r="F3" s="8"/>
      <c r="G3" s="8"/>
      <c r="H3" s="8">
        <v>3000000</v>
      </c>
      <c r="I3" s="8"/>
    </row>
    <row r="4" spans="1:9">
      <c r="A4" s="6"/>
      <c r="B4" s="6">
        <v>42542</v>
      </c>
      <c r="C4" s="9"/>
      <c r="D4" s="8"/>
      <c r="E4" s="8"/>
      <c r="F4" s="8"/>
      <c r="G4" s="8">
        <v>1680000</v>
      </c>
      <c r="H4" s="8"/>
      <c r="I4" s="8"/>
    </row>
    <row r="5" spans="1:9">
      <c r="A5" s="6"/>
      <c r="B5" s="6">
        <v>42552</v>
      </c>
      <c r="C5" s="9"/>
      <c r="D5" s="8"/>
      <c r="E5" s="8">
        <v>210000</v>
      </c>
      <c r="F5" s="8"/>
      <c r="G5" s="8"/>
      <c r="H5" s="8"/>
      <c r="I5" s="8"/>
    </row>
    <row r="6" spans="1:9">
      <c r="A6" s="6"/>
      <c r="B6" s="6">
        <v>42570</v>
      </c>
      <c r="C6" s="9"/>
      <c r="D6" s="8"/>
      <c r="E6" s="8">
        <v>210000</v>
      </c>
      <c r="F6" s="8"/>
      <c r="G6" s="8"/>
      <c r="H6" s="8"/>
      <c r="I6" s="8"/>
    </row>
    <row r="7" spans="1:9">
      <c r="A7" s="6"/>
      <c r="B7" s="6">
        <v>42597</v>
      </c>
      <c r="C7" s="9"/>
      <c r="D7" s="8"/>
      <c r="E7" s="8">
        <v>210000</v>
      </c>
      <c r="F7" s="8"/>
      <c r="G7" s="8"/>
      <c r="H7" s="8"/>
      <c r="I7" s="8"/>
    </row>
    <row r="8" spans="1:9">
      <c r="A8" s="6"/>
      <c r="B8" s="6">
        <v>42631</v>
      </c>
      <c r="C8" s="9"/>
      <c r="D8" s="8"/>
      <c r="E8" s="8">
        <v>210000</v>
      </c>
      <c r="F8" s="8"/>
      <c r="G8" s="8"/>
      <c r="H8" s="8"/>
      <c r="I8" s="8"/>
    </row>
    <row r="9" spans="1:9">
      <c r="A9" s="6"/>
      <c r="B9" s="6">
        <v>42660</v>
      </c>
      <c r="C9" s="9"/>
      <c r="D9" s="8"/>
      <c r="E9" s="8">
        <v>210000</v>
      </c>
      <c r="F9" s="8"/>
      <c r="G9" s="8"/>
      <c r="H9" s="8"/>
      <c r="I9" s="8"/>
    </row>
    <row r="10" spans="1:9">
      <c r="A10" s="6"/>
      <c r="B10" s="6">
        <v>42692</v>
      </c>
      <c r="C10" s="9"/>
      <c r="D10" s="8"/>
      <c r="E10" s="8">
        <v>210000</v>
      </c>
      <c r="F10" s="10"/>
      <c r="G10" s="10"/>
      <c r="H10" s="10"/>
      <c r="I10" s="8"/>
    </row>
    <row r="11" spans="1:9">
      <c r="A11" s="6"/>
      <c r="B11" s="6">
        <v>42724</v>
      </c>
      <c r="C11" s="9"/>
      <c r="D11" s="8"/>
      <c r="E11" s="8">
        <v>210000</v>
      </c>
      <c r="F11" s="10"/>
      <c r="G11" s="10"/>
      <c r="H11" s="10"/>
      <c r="I11" s="8"/>
    </row>
    <row r="12" spans="1:9">
      <c r="A12" s="6"/>
      <c r="B12" s="6">
        <v>42751</v>
      </c>
      <c r="C12" s="9"/>
      <c r="D12" s="8"/>
      <c r="E12" s="8">
        <v>210000</v>
      </c>
      <c r="F12" s="10"/>
      <c r="G12" s="10"/>
      <c r="H12" s="10"/>
      <c r="I12" s="8"/>
    </row>
    <row r="13" spans="1:9">
      <c r="A13" s="6"/>
      <c r="B13" s="6">
        <v>42782</v>
      </c>
      <c r="C13" s="9"/>
      <c r="D13" s="10"/>
      <c r="E13" s="8">
        <v>210000</v>
      </c>
      <c r="F13" s="10"/>
      <c r="G13" s="10"/>
      <c r="H13" s="10"/>
      <c r="I13" s="8"/>
    </row>
    <row r="14" spans="1:9">
      <c r="A14" s="6"/>
      <c r="B14" s="6">
        <v>42811</v>
      </c>
      <c r="C14" s="9"/>
      <c r="D14" s="10"/>
      <c r="E14" s="8">
        <v>210000</v>
      </c>
      <c r="F14" s="10"/>
      <c r="G14" s="10"/>
      <c r="H14" s="10"/>
      <c r="I14" s="8"/>
    </row>
    <row r="15" spans="1:9">
      <c r="A15" s="6"/>
      <c r="B15" s="6">
        <v>42842</v>
      </c>
      <c r="C15" s="9"/>
      <c r="D15" s="10"/>
      <c r="E15" s="8">
        <v>210000</v>
      </c>
      <c r="F15" s="10"/>
      <c r="G15" s="10"/>
      <c r="H15" s="10"/>
      <c r="I15" s="8"/>
    </row>
    <row r="16" spans="1:9">
      <c r="A16" s="6"/>
      <c r="B16" s="6">
        <v>42872</v>
      </c>
      <c r="C16" s="9"/>
      <c r="D16" s="8"/>
      <c r="E16" s="8">
        <v>210000</v>
      </c>
      <c r="F16" s="8"/>
      <c r="G16" s="8"/>
      <c r="H16" s="8"/>
      <c r="I16" s="8"/>
    </row>
    <row r="17" spans="1:9">
      <c r="A17" s="6"/>
      <c r="B17" s="6">
        <v>42905</v>
      </c>
      <c r="C17" s="9"/>
      <c r="D17" s="8">
        <v>30000000</v>
      </c>
      <c r="E17" s="8">
        <v>210000</v>
      </c>
      <c r="F17" s="8"/>
      <c r="G17" s="8"/>
      <c r="H17" s="8"/>
      <c r="I17" s="8"/>
    </row>
    <row r="18" spans="1:9">
      <c r="A18" s="6"/>
      <c r="B18" s="6">
        <v>42905</v>
      </c>
      <c r="C18" s="8"/>
      <c r="D18" s="8"/>
      <c r="E18" s="8"/>
      <c r="F18" s="8"/>
      <c r="G18" s="8"/>
      <c r="H18" s="8">
        <v>-3000000</v>
      </c>
      <c r="I18" s="8"/>
    </row>
    <row r="19" spans="1:9">
      <c r="A19" s="6"/>
      <c r="B19" s="6"/>
      <c r="C19" s="8"/>
      <c r="D19" s="8"/>
      <c r="E19" s="8"/>
      <c r="F19" s="8"/>
      <c r="G19" s="8"/>
      <c r="H19" s="8"/>
      <c r="I19" s="8"/>
    </row>
    <row r="21" spans="1:9">
      <c r="A21" t="s">
        <v>558</v>
      </c>
      <c r="C21" s="11">
        <f>SUM(C3:C20)</f>
        <v>30000000</v>
      </c>
      <c r="D21" s="11">
        <f>SUM(D3:D19)</f>
        <v>30000000</v>
      </c>
      <c r="E21" s="11">
        <f>SUM(E3:E20)</f>
        <v>2730000</v>
      </c>
      <c r="F21" s="11">
        <f>SUM(F3:F20)</f>
        <v>0</v>
      </c>
      <c r="G21" s="11">
        <f>SUM(G3:G20)</f>
        <v>1680000</v>
      </c>
      <c r="H21" s="11">
        <f>SUM(H3:H20)</f>
        <v>0</v>
      </c>
      <c r="I21" s="11">
        <f>SUM(I3:I19)</f>
        <v>0</v>
      </c>
    </row>
  </sheetData>
  <mergeCells count="1">
    <mergeCell ref="A1:G1"/>
  </mergeCells>
  <hyperlinks>
    <hyperlink ref="K1" location="收付款总表!A1" display="收付款总表"/>
    <hyperlink ref="J1" location="总表!A1" display="总表"/>
  </hyperlinks>
  <pageMargins left="0.699305555555556" right="0.699305555555556" top="0.75" bottom="0.75" header="0.3" footer="0.3"/>
  <headerFooter/>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21"/>
  <sheetViews>
    <sheetView workbookViewId="0">
      <selection activeCell="K1" sqref="K1"/>
    </sheetView>
  </sheetViews>
  <sheetFormatPr defaultColWidth="9" defaultRowHeight="13.5"/>
  <cols>
    <col min="1" max="2" width="11.625" customWidth="1"/>
    <col min="3" max="3" width="18.375" customWidth="1"/>
    <col min="4" max="4" width="17.25" customWidth="1"/>
    <col min="5" max="5" width="16.125" customWidth="1"/>
    <col min="6" max="6" width="11.875" customWidth="1"/>
    <col min="7" max="7" width="16.125" customWidth="1"/>
    <col min="8" max="8" width="17.25" customWidth="1"/>
    <col min="11" max="11" width="11" customWidth="1"/>
  </cols>
  <sheetData>
    <row r="1" ht="18.75" spans="1:11">
      <c r="A1" s="1" t="s">
        <v>631</v>
      </c>
      <c r="B1" s="1"/>
      <c r="C1" s="1"/>
      <c r="D1" s="1"/>
      <c r="E1" s="1"/>
      <c r="F1" s="1"/>
      <c r="G1" s="1"/>
      <c r="H1" s="2"/>
      <c r="J1" s="12" t="s">
        <v>544</v>
      </c>
      <c r="K1" s="12" t="s">
        <v>545</v>
      </c>
    </row>
    <row r="2" spans="1:9">
      <c r="A2" s="3" t="s">
        <v>2</v>
      </c>
      <c r="B2" s="3" t="s">
        <v>557</v>
      </c>
      <c r="C2" s="3" t="s">
        <v>6</v>
      </c>
      <c r="D2" s="3" t="s">
        <v>624</v>
      </c>
      <c r="E2" s="3" t="s">
        <v>515</v>
      </c>
      <c r="F2" s="3" t="s">
        <v>517</v>
      </c>
      <c r="G2" s="3" t="s">
        <v>519</v>
      </c>
      <c r="H2" s="4" t="s">
        <v>521</v>
      </c>
      <c r="I2" s="4" t="s">
        <v>522</v>
      </c>
    </row>
    <row r="3" spans="1:9">
      <c r="A3" s="5">
        <v>42541</v>
      </c>
      <c r="B3" s="6"/>
      <c r="C3" s="7">
        <v>200000000</v>
      </c>
      <c r="D3" s="8"/>
      <c r="E3" s="8"/>
      <c r="F3" s="8"/>
      <c r="G3" s="8"/>
      <c r="H3" s="8">
        <v>2000000</v>
      </c>
      <c r="I3" s="8"/>
    </row>
    <row r="4" spans="1:9">
      <c r="A4" s="6"/>
      <c r="B4" s="6">
        <v>42542</v>
      </c>
      <c r="C4" s="9"/>
      <c r="D4" s="8"/>
      <c r="E4" s="8"/>
      <c r="F4" s="8"/>
      <c r="G4" s="8">
        <v>1120000</v>
      </c>
      <c r="H4" s="8"/>
      <c r="I4" s="8"/>
    </row>
    <row r="5" spans="1:9">
      <c r="A5" s="6"/>
      <c r="B5" s="6">
        <v>42552</v>
      </c>
      <c r="C5" s="9"/>
      <c r="D5" s="8"/>
      <c r="E5" s="8">
        <v>140000</v>
      </c>
      <c r="F5" s="8"/>
      <c r="G5" s="8"/>
      <c r="H5" s="8"/>
      <c r="I5" s="8"/>
    </row>
    <row r="6" spans="1:9">
      <c r="A6" s="6"/>
      <c r="B6" s="6">
        <v>42570</v>
      </c>
      <c r="C6" s="9"/>
      <c r="D6" s="8"/>
      <c r="E6" s="8">
        <v>140000</v>
      </c>
      <c r="F6" s="8"/>
      <c r="G6" s="8"/>
      <c r="H6" s="8"/>
      <c r="I6" s="8"/>
    </row>
    <row r="7" spans="1:9">
      <c r="A7" s="6"/>
      <c r="B7" s="6">
        <v>42597</v>
      </c>
      <c r="C7" s="9"/>
      <c r="D7" s="8"/>
      <c r="E7" s="8">
        <v>140000</v>
      </c>
      <c r="F7" s="8"/>
      <c r="G7" s="8"/>
      <c r="H7" s="8"/>
      <c r="I7" s="8"/>
    </row>
    <row r="8" spans="1:9">
      <c r="A8" s="6"/>
      <c r="B8" s="6">
        <v>42631</v>
      </c>
      <c r="C8" s="9"/>
      <c r="D8" s="8"/>
      <c r="E8" s="8">
        <v>140000</v>
      </c>
      <c r="F8" s="8"/>
      <c r="G8" s="8"/>
      <c r="H8" s="8"/>
      <c r="I8" s="8"/>
    </row>
    <row r="9" spans="1:9">
      <c r="A9" s="6"/>
      <c r="B9" s="6">
        <v>42660</v>
      </c>
      <c r="C9" s="9"/>
      <c r="D9" s="8"/>
      <c r="E9" s="8">
        <v>140000</v>
      </c>
      <c r="F9" s="8"/>
      <c r="G9" s="8"/>
      <c r="H9" s="8"/>
      <c r="I9" s="8"/>
    </row>
    <row r="10" spans="1:9">
      <c r="A10" s="6"/>
      <c r="B10" s="6">
        <v>42692</v>
      </c>
      <c r="C10" s="9"/>
      <c r="D10" s="8"/>
      <c r="E10" s="8">
        <v>140000</v>
      </c>
      <c r="F10" s="10"/>
      <c r="G10" s="10"/>
      <c r="H10" s="10"/>
      <c r="I10" s="8"/>
    </row>
    <row r="11" spans="1:9">
      <c r="A11" s="6"/>
      <c r="B11" s="6">
        <v>42724</v>
      </c>
      <c r="C11" s="9"/>
      <c r="D11" s="8"/>
      <c r="E11" s="8">
        <v>140000</v>
      </c>
      <c r="F11" s="10"/>
      <c r="G11" s="10"/>
      <c r="H11" s="10"/>
      <c r="I11" s="8"/>
    </row>
    <row r="12" spans="1:9">
      <c r="A12" s="6"/>
      <c r="B12" s="6">
        <v>42751</v>
      </c>
      <c r="C12" s="9"/>
      <c r="D12" s="8"/>
      <c r="E12" s="8">
        <v>140000</v>
      </c>
      <c r="F12" s="10"/>
      <c r="G12" s="10"/>
      <c r="H12" s="10"/>
      <c r="I12" s="8"/>
    </row>
    <row r="13" spans="1:9">
      <c r="A13" s="6"/>
      <c r="B13" s="6">
        <v>42782</v>
      </c>
      <c r="C13" s="9"/>
      <c r="D13" s="10"/>
      <c r="E13" s="8">
        <v>140000</v>
      </c>
      <c r="F13" s="10"/>
      <c r="G13" s="10"/>
      <c r="H13" s="10"/>
      <c r="I13" s="8"/>
    </row>
    <row r="14" spans="1:9">
      <c r="A14" s="6"/>
      <c r="B14" s="6">
        <v>42811</v>
      </c>
      <c r="C14" s="9"/>
      <c r="D14" s="10"/>
      <c r="E14" s="8">
        <v>140000</v>
      </c>
      <c r="F14" s="10"/>
      <c r="G14" s="10"/>
      <c r="H14" s="10"/>
      <c r="I14" s="8"/>
    </row>
    <row r="15" spans="1:9">
      <c r="A15" s="6"/>
      <c r="B15" s="6">
        <v>42842</v>
      </c>
      <c r="C15" s="9"/>
      <c r="D15" s="10"/>
      <c r="E15" s="8">
        <v>140000</v>
      </c>
      <c r="F15" s="10"/>
      <c r="G15" s="10"/>
      <c r="H15" s="10"/>
      <c r="I15" s="8"/>
    </row>
    <row r="16" spans="1:9">
      <c r="A16" s="6"/>
      <c r="B16" s="6">
        <v>42872</v>
      </c>
      <c r="C16" s="9"/>
      <c r="D16" s="8"/>
      <c r="E16" s="8">
        <v>140000</v>
      </c>
      <c r="F16" s="8"/>
      <c r="G16" s="8"/>
      <c r="H16" s="8"/>
      <c r="I16" s="8"/>
    </row>
    <row r="17" spans="1:9">
      <c r="A17" s="6"/>
      <c r="B17" s="6">
        <v>42905</v>
      </c>
      <c r="C17" s="9"/>
      <c r="D17" s="8">
        <v>20000000</v>
      </c>
      <c r="E17" s="8">
        <v>140000</v>
      </c>
      <c r="F17" s="8"/>
      <c r="G17" s="8"/>
      <c r="H17" s="8"/>
      <c r="I17" s="8"/>
    </row>
    <row r="18" spans="1:9">
      <c r="A18" s="6"/>
      <c r="B18" s="6">
        <v>42905</v>
      </c>
      <c r="C18" s="8"/>
      <c r="D18" s="8"/>
      <c r="E18" s="8"/>
      <c r="F18" s="8"/>
      <c r="G18" s="8"/>
      <c r="H18" s="8">
        <v>-2000000</v>
      </c>
      <c r="I18" s="8"/>
    </row>
    <row r="19" spans="1:9">
      <c r="A19" s="6"/>
      <c r="B19" s="6"/>
      <c r="C19" s="8"/>
      <c r="D19" s="8"/>
      <c r="E19" s="8"/>
      <c r="F19" s="8"/>
      <c r="G19" s="8"/>
      <c r="H19" s="8"/>
      <c r="I19" s="8"/>
    </row>
    <row r="21" spans="1:9">
      <c r="A21" t="s">
        <v>558</v>
      </c>
      <c r="C21" s="11">
        <f>SUM(C3:C20)</f>
        <v>200000000</v>
      </c>
      <c r="D21" s="11">
        <f>SUM(D3:D19)</f>
        <v>20000000</v>
      </c>
      <c r="E21" s="11">
        <f>SUM(E3:E20)</f>
        <v>1820000</v>
      </c>
      <c r="F21" s="11">
        <f>SUM(F3:F20)</f>
        <v>0</v>
      </c>
      <c r="G21" s="11">
        <f>SUM(G3:G20)</f>
        <v>1120000</v>
      </c>
      <c r="H21" s="11">
        <f>SUM(H3:H20)</f>
        <v>0</v>
      </c>
      <c r="I21" s="11">
        <f>SUM(I3:I19)</f>
        <v>0</v>
      </c>
    </row>
  </sheetData>
  <mergeCells count="1">
    <mergeCell ref="A1:G1"/>
  </mergeCells>
  <hyperlinks>
    <hyperlink ref="K1" location="收付款总表!A1" display="收付款总表"/>
    <hyperlink ref="J1" location="总表!A1" display="总表"/>
  </hyperlinks>
  <pageMargins left="0.699305555555556" right="0.699305555555556"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80</vt:i4>
      </vt:variant>
    </vt:vector>
  </HeadingPairs>
  <TitlesOfParts>
    <vt:vector size="80" baseType="lpstr">
      <vt:lpstr>总表</vt:lpstr>
      <vt:lpstr>收付款总表</vt:lpstr>
      <vt:lpstr>按月收付款情况汇总</vt:lpstr>
      <vt:lpstr>尤夫短拆</vt:lpstr>
      <vt:lpstr>乐语12期</vt:lpstr>
      <vt:lpstr>西藏发展</vt:lpstr>
      <vt:lpstr>捷夫珠宝</vt:lpstr>
      <vt:lpstr>驿家2期</vt:lpstr>
      <vt:lpstr>康必得短借</vt:lpstr>
      <vt:lpstr>汇源2期</vt:lpstr>
      <vt:lpstr>龙力生物</vt:lpstr>
      <vt:lpstr>升达1期</vt:lpstr>
      <vt:lpstr>升达2期</vt:lpstr>
      <vt:lpstr>升达3期</vt:lpstr>
      <vt:lpstr>乐语6期</vt:lpstr>
      <vt:lpstr>乐语7期</vt:lpstr>
      <vt:lpstr>乐语5期</vt:lpstr>
      <vt:lpstr>乐语8期</vt:lpstr>
      <vt:lpstr>乐语9期</vt:lpstr>
      <vt:lpstr>中麦2期</vt:lpstr>
      <vt:lpstr>盛运1期</vt:lpstr>
      <vt:lpstr>盛运2期</vt:lpstr>
      <vt:lpstr>盛运3期</vt:lpstr>
      <vt:lpstr>华英4期</vt:lpstr>
      <vt:lpstr>华英短拆</vt:lpstr>
      <vt:lpstr>永泰控股</vt:lpstr>
      <vt:lpstr>中麦信通</vt:lpstr>
      <vt:lpstr>中孚1期</vt:lpstr>
      <vt:lpstr>中孚2期</vt:lpstr>
      <vt:lpstr>中孚3期</vt:lpstr>
      <vt:lpstr>中孚4期</vt:lpstr>
      <vt:lpstr>德莱顿</vt:lpstr>
      <vt:lpstr>汇高商贸</vt:lpstr>
      <vt:lpstr>鼎立控股</vt:lpstr>
      <vt:lpstr>旗帜4期</vt:lpstr>
      <vt:lpstr>旗帜5期</vt:lpstr>
      <vt:lpstr>中昌2期</vt:lpstr>
      <vt:lpstr>中昌航道</vt:lpstr>
      <vt:lpstr>华英4期（短借）</vt:lpstr>
      <vt:lpstr>天成控股（长征电气）</vt:lpstr>
      <vt:lpstr>天成控股（银河开关）</vt:lpstr>
      <vt:lpstr>天成3期</vt:lpstr>
      <vt:lpstr>天成4期</vt:lpstr>
      <vt:lpstr>天成5期</vt:lpstr>
      <vt:lpstr>汇源1期</vt:lpstr>
      <vt:lpstr>猛狮3期</vt:lpstr>
      <vt:lpstr>恒润华创</vt:lpstr>
      <vt:lpstr>前海圆舟</vt:lpstr>
      <vt:lpstr>尤夫2期</vt:lpstr>
      <vt:lpstr>尤夫1期</vt:lpstr>
      <vt:lpstr>宏达矿业</vt:lpstr>
      <vt:lpstr>中孚5期</vt:lpstr>
      <vt:lpstr>猛狮2期</vt:lpstr>
      <vt:lpstr>格洛斯金盾1期</vt:lpstr>
      <vt:lpstr>金盾2期</vt:lpstr>
      <vt:lpstr>融钰1期</vt:lpstr>
      <vt:lpstr>融钰2期</vt:lpstr>
      <vt:lpstr>山水环境</vt:lpstr>
      <vt:lpstr>天成2期长征电气1</vt:lpstr>
      <vt:lpstr>天成2期长征电气2</vt:lpstr>
      <vt:lpstr>天成2期银河开关</vt:lpstr>
      <vt:lpstr>中麦4期</vt:lpstr>
      <vt:lpstr>升达4期</vt:lpstr>
      <vt:lpstr>驿家短租公寓</vt:lpstr>
      <vt:lpstr>长城集团</vt:lpstr>
      <vt:lpstr>升达5期</vt:lpstr>
      <vt:lpstr>沃泰通</vt:lpstr>
      <vt:lpstr>猛狮科技</vt:lpstr>
      <vt:lpstr>天业2期</vt:lpstr>
      <vt:lpstr>九兴能源</vt:lpstr>
      <vt:lpstr>冠福1期</vt:lpstr>
      <vt:lpstr>盛运4期</vt:lpstr>
      <vt:lpstr>盛运5期</vt:lpstr>
      <vt:lpstr>天翔3期</vt:lpstr>
      <vt:lpstr>亿阳3期</vt:lpstr>
      <vt:lpstr>中麦3期</vt:lpstr>
      <vt:lpstr>天业3期</vt:lpstr>
      <vt:lpstr>升达6期</vt:lpstr>
      <vt:lpstr>天翔1期</vt:lpstr>
      <vt:lpstr>天翔2期</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gtcf</dc:creator>
  <cp:lastModifiedBy>白眼狼</cp:lastModifiedBy>
  <dcterms:created xsi:type="dcterms:W3CDTF">2017-08-09T08:17:00Z</dcterms:created>
  <dcterms:modified xsi:type="dcterms:W3CDTF">2018-01-17T06:46:01Z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2052-10.1.0.7106</vt:lpwstr>
  </property>
</Properties>
</file>